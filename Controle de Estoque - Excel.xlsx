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EstaPastaDeTrabalho"/>
  <xr:revisionPtr revIDLastSave="0" documentId="8_{98BBC08E-9D0F-43DA-8BAD-53D63EE8D88F}" xr6:coauthVersionLast="47" xr6:coauthVersionMax="47" xr10:uidLastSave="{00000000-0000-0000-0000-000000000000}"/>
  <bookViews>
    <workbookView xWindow="-120" yWindow="-120" windowWidth="29040" windowHeight="15840" firstSheet="2" xr2:uid="{00000000-000D-0000-FFFF-FFFF00000000}"/>
  </bookViews>
  <sheets>
    <sheet name="Inicio" sheetId="1" r:id="rId1"/>
    <sheet name="Cadastro" sheetId="2" r:id="rId2"/>
    <sheet name="Lançamentos" sheetId="3" r:id="rId3"/>
  </sheets>
  <definedNames>
    <definedName name="ColunaProdutos">TBCadastro[Produtos]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</calcChain>
</file>

<file path=xl/sharedStrings.xml><?xml version="1.0" encoding="utf-8"?>
<sst xmlns="http://schemas.openxmlformats.org/spreadsheetml/2006/main" count="282" uniqueCount="23">
  <si>
    <t>Produtos</t>
  </si>
  <si>
    <t>Medida</t>
  </si>
  <si>
    <t>Estoque
Minimo</t>
  </si>
  <si>
    <t>Estoque
Máximo</t>
  </si>
  <si>
    <t>Saldo</t>
  </si>
  <si>
    <t>Avisos</t>
  </si>
  <si>
    <t>Caneta esferográfica azul</t>
  </si>
  <si>
    <t>Unidade</t>
  </si>
  <si>
    <t>Caneta esferográfica preta</t>
  </si>
  <si>
    <t>Caneta esferográfica vermelha</t>
  </si>
  <si>
    <t>Lápis</t>
  </si>
  <si>
    <t>Borracha branca</t>
  </si>
  <si>
    <t>Apontador</t>
  </si>
  <si>
    <t>Marca-texto amarelo</t>
  </si>
  <si>
    <t>Caderno universitário</t>
  </si>
  <si>
    <t>Papel A4 (resma)</t>
  </si>
  <si>
    <t>Cola branca 90g</t>
  </si>
  <si>
    <t>Tesoura escolar</t>
  </si>
  <si>
    <t>Régua 30cm</t>
  </si>
  <si>
    <t>Datas</t>
  </si>
  <si>
    <t>Entradas</t>
  </si>
  <si>
    <t>Saídas</t>
  </si>
  <si>
    <t>Saldos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</si>
</sst>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FFFF"/>
      <name val="Aptos Narrow"/>
      <scheme val="minor"/>
    </font>
    <font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62162F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1" fontId="0" fillId="2" borderId="0" xfId="0" applyNumberFormat="1" applyFill="1"/>
    <xf numFmtId="1" fontId="0" fillId="3" borderId="0" xfId="0" applyNumberFormat="1" applyFill="1"/>
    <xf numFmtId="1" fontId="0" fillId="0" borderId="0" xfId="0" applyNumberFormat="1"/>
    <xf numFmtId="1" fontId="1" fillId="3" borderId="0" xfId="0" applyNumberFormat="1" applyFont="1" applyFill="1" applyAlignment="1">
      <alignment vertical="center" wrapText="1"/>
    </xf>
    <xf numFmtId="1" fontId="1" fillId="3" borderId="0" xfId="0" applyNumberFormat="1" applyFont="1" applyFill="1" applyAlignment="1">
      <alignment vertical="center"/>
    </xf>
    <xf numFmtId="1" fontId="0" fillId="4" borderId="0" xfId="0" applyNumberFormat="1" applyFill="1"/>
    <xf numFmtId="0" fontId="0" fillId="4" borderId="0" xfId="0" applyFill="1" applyAlignment="1">
      <alignment wrapText="1"/>
    </xf>
    <xf numFmtId="0" fontId="0" fillId="4" borderId="0" xfId="0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  <fill>
        <patternFill patternType="solid">
          <fgColor indexed="64"/>
          <bgColor theme="0" tint="-0.34998626667073579"/>
        </patternFill>
      </fill>
    </dxf>
    <dxf>
      <numFmt numFmtId="19" formatCode="dd/mm/yyyy"/>
    </dxf>
    <dxf>
      <font>
        <strike val="0"/>
        <condense val="0"/>
        <extend val="0"/>
        <outline val="0"/>
        <shadow val="0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rgb="FF62162F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numFmt numFmtId="1" formatCode="0"/>
      <fill>
        <patternFill patternType="solid">
          <fgColor indexed="64"/>
          <bgColor theme="0" tint="-0.34998626667073579"/>
        </patternFill>
      </fill>
    </dxf>
    <dxf>
      <numFmt numFmtId="1" formatCode="0"/>
    </dxf>
    <dxf>
      <numFmt numFmtId="1" formatCode="0"/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62162F"/>
        </patternFill>
      </fill>
      <alignment horizontal="general" vertic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6</xdr:row>
      <xdr:rowOff>66675</xdr:rowOff>
    </xdr:from>
    <xdr:to>
      <xdr:col>4</xdr:col>
      <xdr:colOff>206618</xdr:colOff>
      <xdr:row>14</xdr:row>
      <xdr:rowOff>732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D3DC09-C46E-47D0-AABC-20362A9D3331}"/>
            </a:ext>
          </a:extLst>
        </xdr:cNvPr>
        <xdr:cNvSpPr txBox="1"/>
      </xdr:nvSpPr>
      <xdr:spPr>
        <a:xfrm>
          <a:off x="3124200" y="1419225"/>
          <a:ext cx="2902193" cy="14580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latin typeface="Calibri" panose="020F0502020204030204" pitchFamily="34" charset="0"/>
              <a:cs typeface="Calibri" panose="020F0502020204030204" pitchFamily="34" charset="0"/>
            </a:rPr>
            <a:t>Controle</a:t>
          </a:r>
          <a:r>
            <a:rPr lang="en-US" sz="2400" b="1" baseline="0">
              <a:latin typeface="Calibri" panose="020F0502020204030204" pitchFamily="34" charset="0"/>
              <a:cs typeface="Calibri" panose="020F0502020204030204" pitchFamily="34" charset="0"/>
            </a:rPr>
            <a:t> de Estoques Simplificado</a:t>
          </a:r>
          <a:endParaRPr lang="en-US" sz="2400" b="1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2505075</xdr:colOff>
      <xdr:row>15</xdr:row>
      <xdr:rowOff>123825</xdr:rowOff>
    </xdr:from>
    <xdr:to>
      <xdr:col>4</xdr:col>
      <xdr:colOff>669681</xdr:colOff>
      <xdr:row>21</xdr:row>
      <xdr:rowOff>13922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62B71-B2FC-4E98-9479-33F9A546DE2E}"/>
            </a:ext>
            <a:ext uri="{147F2762-F138-4A5C-976F-8EAC2B608ADB}">
              <a16:predDERef xmlns:a16="http://schemas.microsoft.com/office/drawing/2014/main" pred="{CAD3DC09-C46E-47D0-AABC-20362A9D3331}"/>
            </a:ext>
          </a:extLst>
        </xdr:cNvPr>
        <xdr:cNvSpPr txBox="1"/>
      </xdr:nvSpPr>
      <xdr:spPr>
        <a:xfrm>
          <a:off x="2505075" y="3190875"/>
          <a:ext cx="3984381" cy="1033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latin typeface="Calibri" panose="020F0502020204030204" pitchFamily="34" charset="0"/>
              <a:cs typeface="Calibri" panose="020F0502020204030204" pitchFamily="34" charset="0"/>
            </a:rPr>
            <a:t>Orientações:</a:t>
          </a:r>
        </a:p>
        <a:p>
          <a:pPr algn="ctr"/>
          <a:endParaRPr lang="en-US" sz="1100">
            <a:latin typeface="Calibri" panose="020F0502020204030204" pitchFamily="34" charset="0"/>
            <a:cs typeface="Calibri" panose="020F0502020204030204" pitchFamily="34" charset="0"/>
          </a:endParaRPr>
        </a:p>
        <a:p>
          <a:pPr algn="ctr"/>
          <a:r>
            <a:rPr lang="en-US" sz="1100" b="1">
              <a:latin typeface="Calibri" panose="020F0502020204030204" pitchFamily="34" charset="0"/>
              <a:cs typeface="Calibri" panose="020F0502020204030204" pitchFamily="34" charset="0"/>
            </a:rPr>
            <a:t>1. </a:t>
          </a:r>
          <a:r>
            <a:rPr lang="en-US" sz="1100">
              <a:latin typeface="Calibri" panose="020F0502020204030204" pitchFamily="34" charset="0"/>
              <a:cs typeface="Calibri" panose="020F0502020204030204" pitchFamily="34" charset="0"/>
            </a:rPr>
            <a:t>Cadastrar produto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 na aba "Cadastro".</a:t>
          </a:r>
        </a:p>
        <a:p>
          <a:pPr algn="ctr"/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2. 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Registrar as entradas e saídas na aba "Lançamentos".</a:t>
          </a:r>
        </a:p>
        <a:p>
          <a:pPr algn="ctr"/>
          <a:r>
            <a:rPr lang="en-US" sz="1100" b="1" baseline="0">
              <a:latin typeface="Calibri" panose="020F0502020204030204" pitchFamily="34" charset="0"/>
              <a:cs typeface="Calibri" panose="020F0502020204030204" pitchFamily="34" charset="0"/>
            </a:rPr>
            <a:t>3. </a:t>
          </a:r>
          <a:r>
            <a:rPr lang="en-US" sz="1100" baseline="0">
              <a:latin typeface="Calibri" panose="020F0502020204030204" pitchFamily="34" charset="0"/>
              <a:cs typeface="Calibri" panose="020F0502020204030204" pitchFamily="34" charset="0"/>
            </a:rPr>
            <a:t>Relatórios e consultas usar filtros nas abas "Cadastro" e "Lançamento"</a:t>
          </a:r>
          <a:endParaRPr lang="en-US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533400</xdr:colOff>
      <xdr:row>0</xdr:row>
      <xdr:rowOff>190500</xdr:rowOff>
    </xdr:from>
    <xdr:to>
      <xdr:col>0</xdr:col>
      <xdr:colOff>1971675</xdr:colOff>
      <xdr:row>1</xdr:row>
      <xdr:rowOff>28575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914BBAA6-E10D-4A04-AECE-8F032DA2B629}"/>
            </a:ext>
            <a:ext uri="{147F2762-F138-4A5C-976F-8EAC2B608ADB}">
              <a16:predDERef xmlns:a16="http://schemas.microsoft.com/office/drawing/2014/main" pred="{14D62B71-B2FC-4E98-9479-33F9A546DE2E}"/>
            </a:ext>
          </a:extLst>
        </xdr:cNvPr>
        <xdr:cNvSpPr/>
      </xdr:nvSpPr>
      <xdr:spPr>
        <a:xfrm>
          <a:off x="533400" y="190500"/>
          <a:ext cx="1438275" cy="342900"/>
        </a:xfrm>
        <a:prstGeom prst="round2SameRect">
          <a:avLst/>
        </a:prstGeom>
        <a:solidFill>
          <a:srgbClr val="62162F"/>
        </a:solidFill>
        <a:ln>
          <a:noFill/>
        </a:ln>
        <a:effectLst>
          <a:innerShdw blurRad="63500" dist="50800" dir="16200000">
            <a:prstClr val="black">
              <a:alpha val="32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Inicio</a:t>
          </a:r>
        </a:p>
      </xdr:txBody>
    </xdr:sp>
    <xdr:clientData/>
  </xdr:twoCellAnchor>
  <xdr:twoCellAnchor>
    <xdr:from>
      <xdr:col>4</xdr:col>
      <xdr:colOff>638175</xdr:colOff>
      <xdr:row>0</xdr:row>
      <xdr:rowOff>171450</xdr:rowOff>
    </xdr:from>
    <xdr:to>
      <xdr:col>5</xdr:col>
      <xdr:colOff>1104900</xdr:colOff>
      <xdr:row>0</xdr:row>
      <xdr:rowOff>495300</xdr:rowOff>
    </xdr:to>
    <xdr:sp macro="" textlink="">
      <xdr:nvSpPr>
        <xdr:cNvPr id="5" name="Retângulo com Canto Redondo do Mesmo Lado 4">
          <a:extLst>
            <a:ext uri="{FF2B5EF4-FFF2-40B4-BE49-F238E27FC236}">
              <a16:creationId xmlns:a16="http://schemas.microsoft.com/office/drawing/2014/main" id="{1ABC3099-D980-491F-A983-0D9F527E531E}"/>
            </a:ext>
            <a:ext uri="{147F2762-F138-4A5C-976F-8EAC2B608ADB}">
              <a16:predDERef xmlns:a16="http://schemas.microsoft.com/office/drawing/2014/main" pred="{914BBAA6-E10D-4A04-AECE-8F032DA2B629}"/>
            </a:ext>
          </a:extLst>
        </xdr:cNvPr>
        <xdr:cNvSpPr/>
      </xdr:nvSpPr>
      <xdr:spPr>
        <a:xfrm>
          <a:off x="6457950" y="171450"/>
          <a:ext cx="1504950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  <a:latin typeface="+mj-lt"/>
            </a:rPr>
            <a:t>Cadastro</a:t>
          </a:r>
        </a:p>
      </xdr:txBody>
    </xdr:sp>
    <xdr:clientData/>
  </xdr:twoCellAnchor>
  <xdr:twoCellAnchor>
    <xdr:from>
      <xdr:col>5</xdr:col>
      <xdr:colOff>1333500</xdr:colOff>
      <xdr:row>0</xdr:row>
      <xdr:rowOff>171450</xdr:rowOff>
    </xdr:from>
    <xdr:to>
      <xdr:col>6</xdr:col>
      <xdr:colOff>1200150</xdr:colOff>
      <xdr:row>0</xdr:row>
      <xdr:rowOff>495300</xdr:rowOff>
    </xdr:to>
    <xdr:sp macro="" textlink="">
      <xdr:nvSpPr>
        <xdr:cNvPr id="6" name="Retângulo com Canto Redondo do Mesmo Lado 5">
          <a:extLst>
            <a:ext uri="{FF2B5EF4-FFF2-40B4-BE49-F238E27FC236}">
              <a16:creationId xmlns:a16="http://schemas.microsoft.com/office/drawing/2014/main" id="{8C27B62E-3C12-43DD-A041-C71D2955E78B}"/>
            </a:ext>
            <a:ext uri="{147F2762-F138-4A5C-976F-8EAC2B608ADB}">
              <a16:predDERef xmlns:a16="http://schemas.microsoft.com/office/drawing/2014/main" pred="{1ABC3099-D980-491F-A983-0D9F527E531E}"/>
            </a:ext>
          </a:extLst>
        </xdr:cNvPr>
        <xdr:cNvSpPr/>
      </xdr:nvSpPr>
      <xdr:spPr>
        <a:xfrm>
          <a:off x="8191500" y="171450"/>
          <a:ext cx="1381125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  <a:latin typeface="+mj-lt"/>
            </a:rPr>
            <a:t>Lançamentos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1314450</xdr:colOff>
      <xdr:row>0</xdr:row>
      <xdr:rowOff>171450</xdr:rowOff>
    </xdr:from>
    <xdr:to>
      <xdr:col>6</xdr:col>
      <xdr:colOff>1200150</xdr:colOff>
      <xdr:row>0</xdr:row>
      <xdr:rowOff>495300</xdr:rowOff>
    </xdr:to>
    <xdr:sp macro="" textlink="">
      <xdr:nvSpPr>
        <xdr:cNvPr id="3" name="Retângulo com Canto Redondo do Mesmo Lado 2">
          <a:extLst>
            <a:ext uri="{FF2B5EF4-FFF2-40B4-BE49-F238E27FC236}">
              <a16:creationId xmlns:a16="http://schemas.microsoft.com/office/drawing/2014/main" id="{CE66C130-B12A-4E82-A6B2-9D6656920824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SpPr/>
      </xdr:nvSpPr>
      <xdr:spPr>
        <a:xfrm>
          <a:off x="8172450" y="171450"/>
          <a:ext cx="1400175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tx1"/>
              </a:solidFill>
              <a:latin typeface="+mj-lt"/>
              <a:ea typeface="+mn-ea"/>
              <a:cs typeface="+mn-cs"/>
            </a:rPr>
            <a:t>Lançamentos</a:t>
          </a:r>
        </a:p>
      </xdr:txBody>
    </xdr:sp>
    <xdr:clientData/>
  </xdr:twoCellAnchor>
  <xdr:twoCellAnchor>
    <xdr:from>
      <xdr:col>4</xdr:col>
      <xdr:colOff>628650</xdr:colOff>
      <xdr:row>0</xdr:row>
      <xdr:rowOff>171450</xdr:rowOff>
    </xdr:from>
    <xdr:to>
      <xdr:col>5</xdr:col>
      <xdr:colOff>1085850</xdr:colOff>
      <xdr:row>0</xdr:row>
      <xdr:rowOff>495300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8208D96B-176C-4BA0-8229-181F2C053EE6}"/>
            </a:ext>
            <a:ext uri="{147F2762-F138-4A5C-976F-8EAC2B608ADB}">
              <a16:predDERef xmlns:a16="http://schemas.microsoft.com/office/drawing/2014/main" pred="{CE66C130-B12A-4E82-A6B2-9D6656920824}"/>
            </a:ext>
          </a:extLst>
        </xdr:cNvPr>
        <xdr:cNvSpPr/>
      </xdr:nvSpPr>
      <xdr:spPr>
        <a:xfrm>
          <a:off x="6448425" y="171450"/>
          <a:ext cx="1495425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  <a:latin typeface="+mj-lt"/>
            </a:rPr>
            <a:t>Inicio</a:t>
          </a:r>
        </a:p>
      </xdr:txBody>
    </xdr:sp>
    <xdr:clientData/>
  </xdr:twoCellAnchor>
  <xdr:twoCellAnchor>
    <xdr:from>
      <xdr:col>0</xdr:col>
      <xdr:colOff>533400</xdr:colOff>
      <xdr:row>0</xdr:row>
      <xdr:rowOff>190500</xdr:rowOff>
    </xdr:from>
    <xdr:to>
      <xdr:col>0</xdr:col>
      <xdr:colOff>1974056</xdr:colOff>
      <xdr:row>1</xdr:row>
      <xdr:rowOff>5952</xdr:rowOff>
    </xdr:to>
    <xdr:sp macro="" textlink="">
      <xdr:nvSpPr>
        <xdr:cNvPr id="5" name="Retângulo com Canto Redondo do Mesmo Lado 4">
          <a:extLst>
            <a:ext uri="{FF2B5EF4-FFF2-40B4-BE49-F238E27FC236}">
              <a16:creationId xmlns:a16="http://schemas.microsoft.com/office/drawing/2014/main" id="{A88298C3-4A33-4230-A76C-37D5C211C245}"/>
            </a:ext>
            <a:ext uri="{147F2762-F138-4A5C-976F-8EAC2B608ADB}">
              <a16:predDERef xmlns:a16="http://schemas.microsoft.com/office/drawing/2014/main" pred="{8208D96B-176C-4BA0-8229-181F2C053EE6}"/>
            </a:ext>
          </a:extLst>
        </xdr:cNvPr>
        <xdr:cNvSpPr/>
      </xdr:nvSpPr>
      <xdr:spPr>
        <a:xfrm>
          <a:off x="533400" y="190500"/>
          <a:ext cx="1440656" cy="320277"/>
        </a:xfrm>
        <a:prstGeom prst="round2SameRect">
          <a:avLst/>
        </a:prstGeom>
        <a:solidFill>
          <a:srgbClr val="62162F"/>
        </a:solidFill>
        <a:ln>
          <a:noFill/>
        </a:ln>
        <a:effectLst>
          <a:innerShdw blurRad="63500" dist="50800" dir="16200000">
            <a:prstClr val="black">
              <a:alpha val="32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Cadastro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0</xdr:row>
      <xdr:rowOff>190500</xdr:rowOff>
    </xdr:from>
    <xdr:to>
      <xdr:col>0</xdr:col>
      <xdr:colOff>1974056</xdr:colOff>
      <xdr:row>1</xdr:row>
      <xdr:rowOff>5952</xdr:rowOff>
    </xdr:to>
    <xdr:sp macro="" textlink="">
      <xdr:nvSpPr>
        <xdr:cNvPr id="3" name="Retângulo com Canto Redondo do Mesmo Lado 2">
          <a:extLst>
            <a:ext uri="{FF2B5EF4-FFF2-40B4-BE49-F238E27FC236}">
              <a16:creationId xmlns:a16="http://schemas.microsoft.com/office/drawing/2014/main" id="{52D9D918-19CA-4F2D-A0E6-90AA33C454CB}"/>
            </a:ext>
            <a:ext uri="{147F2762-F138-4A5C-976F-8EAC2B608ADB}">
              <a16:predDERef xmlns:a16="http://schemas.microsoft.com/office/drawing/2014/main" pred="{8208D96B-176C-4BA0-8229-181F2C053EE6}"/>
            </a:ext>
          </a:extLst>
        </xdr:cNvPr>
        <xdr:cNvSpPr/>
      </xdr:nvSpPr>
      <xdr:spPr>
        <a:xfrm>
          <a:off x="533400" y="190500"/>
          <a:ext cx="1440656" cy="320277"/>
        </a:xfrm>
        <a:prstGeom prst="round2SameRect">
          <a:avLst/>
        </a:prstGeom>
        <a:solidFill>
          <a:srgbClr val="62162F"/>
        </a:solidFill>
        <a:ln>
          <a:noFill/>
        </a:ln>
        <a:effectLst>
          <a:innerShdw blurRad="63500" dist="50800" dir="16200000">
            <a:prstClr val="black">
              <a:alpha val="32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b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lt1"/>
              </a:solidFill>
              <a:latin typeface="+mn-lt"/>
              <a:ea typeface="+mn-lt"/>
              <a:cs typeface="+mn-lt"/>
            </a:rPr>
            <a:t>Lançamentos</a:t>
          </a:r>
        </a:p>
      </xdr:txBody>
    </xdr:sp>
    <xdr:clientData/>
  </xdr:twoCellAnchor>
  <xdr:twoCellAnchor>
    <xdr:from>
      <xdr:col>4</xdr:col>
      <xdr:colOff>628650</xdr:colOff>
      <xdr:row>0</xdr:row>
      <xdr:rowOff>171450</xdr:rowOff>
    </xdr:from>
    <xdr:to>
      <xdr:col>5</xdr:col>
      <xdr:colOff>1104900</xdr:colOff>
      <xdr:row>0</xdr:row>
      <xdr:rowOff>495300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27A2B050-9A86-44EF-A9B5-9E275CD92789}"/>
            </a:ext>
            <a:ext uri="{147F2762-F138-4A5C-976F-8EAC2B608ADB}">
              <a16:predDERef xmlns:a16="http://schemas.microsoft.com/office/drawing/2014/main" pred="{52D9D918-19CA-4F2D-A0E6-90AA33C454CB}"/>
            </a:ext>
          </a:extLst>
        </xdr:cNvPr>
        <xdr:cNvSpPr/>
      </xdr:nvSpPr>
      <xdr:spPr>
        <a:xfrm>
          <a:off x="6448425" y="171450"/>
          <a:ext cx="1514475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>
              <a:solidFill>
                <a:schemeClr val="tx1"/>
              </a:solidFill>
              <a:latin typeface="+mj-lt"/>
            </a:rPr>
            <a:t>Inicio</a:t>
          </a:r>
        </a:p>
      </xdr:txBody>
    </xdr:sp>
    <xdr:clientData/>
  </xdr:twoCellAnchor>
  <xdr:twoCellAnchor>
    <xdr:from>
      <xdr:col>5</xdr:col>
      <xdr:colOff>1333500</xdr:colOff>
      <xdr:row>0</xdr:row>
      <xdr:rowOff>171450</xdr:rowOff>
    </xdr:from>
    <xdr:to>
      <xdr:col>6</xdr:col>
      <xdr:colOff>1200150</xdr:colOff>
      <xdr:row>0</xdr:row>
      <xdr:rowOff>495300</xdr:rowOff>
    </xdr:to>
    <xdr:sp macro="" textlink="">
      <xdr:nvSpPr>
        <xdr:cNvPr id="5" name="Retângulo com Canto Redondo do Mesmo Lado 4">
          <a:extLst>
            <a:ext uri="{FF2B5EF4-FFF2-40B4-BE49-F238E27FC236}">
              <a16:creationId xmlns:a16="http://schemas.microsoft.com/office/drawing/2014/main" id="{EF55F740-EC1D-43E6-8668-26D262413E4E}"/>
            </a:ext>
            <a:ext uri="{147F2762-F138-4A5C-976F-8EAC2B608ADB}">
              <a16:predDERef xmlns:a16="http://schemas.microsoft.com/office/drawing/2014/main" pred="{27A2B050-9A86-44EF-A9B5-9E275CD92789}"/>
            </a:ext>
          </a:extLst>
        </xdr:cNvPr>
        <xdr:cNvSpPr/>
      </xdr:nvSpPr>
      <xdr:spPr>
        <a:xfrm>
          <a:off x="8191500" y="171450"/>
          <a:ext cx="1381125" cy="323850"/>
        </a:xfrm>
        <a:prstGeom prst="round2SameRect">
          <a:avLst/>
        </a:prstGeom>
        <a:solidFill>
          <a:schemeClr val="bg1"/>
        </a:solidFill>
        <a:ln>
          <a:noFill/>
        </a:ln>
        <a:effectLst>
          <a:innerShdw blurRad="63500" dist="50800" dir="54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tx1"/>
              </a:solidFill>
              <a:latin typeface="+mj-lt"/>
              <a:ea typeface="+mj-lt"/>
              <a:cs typeface="+mj-lt"/>
            </a:rPr>
            <a:t>Cadastro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Cadastro" displayName="TBCadastro" ref="A3:F15" totalsRowShown="0" headerRowDxfId="8">
  <autoFilter ref="A3:F15" xr:uid="{00000000-0009-0000-0100-000001000000}"/>
  <tableColumns count="6">
    <tableColumn id="1" xr3:uid="{00000000-0010-0000-0000-000001000000}" name="Produtos"/>
    <tableColumn id="2" xr3:uid="{00000000-0010-0000-0000-000002000000}" name="Medida"/>
    <tableColumn id="3" xr3:uid="{00000000-0010-0000-0000-000003000000}" name="Estoque_x000a_Minimo" dataDxfId="7"/>
    <tableColumn id="4" xr3:uid="{00000000-0010-0000-0000-000004000000}" name="Estoque_x000a_Máximo" dataDxfId="6"/>
    <tableColumn id="5" xr3:uid="{00000000-0010-0000-0000-000005000000}" name="Saldo" dataDxfId="5">
      <calculatedColumnFormula>SUMIF(TBLancamentos[Produtos],TBCadastro[[#This Row],[Produtos]],TBLancamentos[Entradas])-SUMIF(TBLancamentos[Produtos],TBCadastro[[#This Row],[Produtos]],TBLancamentos[Saídas])</calculatedColumnFormula>
    </tableColumn>
    <tableColumn id="6" xr3:uid="{00000000-0010-0000-0000-000006000000}" name="Avisos" dataDxfId="4">
      <calculatedColumnFormula>IF(TBCadastro[[#This Row],[Saldo]] &lt; TBCadastro[[#This Row],[Estoque
Minimo]],"Solicitar nova compra!",IF(TBCadastro[[#This Row],[Saldo]]&gt;TBCadastro[[#This Row],[Estoque
Máximo]],"Priorizar Venda!",""))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ncamentos" displayName="TBLancamentos" ref="A3:E250" totalsRowShown="0" headerRowDxfId="2">
  <autoFilter ref="A3:E250" xr:uid="{00000000-0009-0000-0100-000002000000}"/>
  <tableColumns count="5">
    <tableColumn id="1" xr3:uid="{00000000-0010-0000-0100-000001000000}" name="Produtos"/>
    <tableColumn id="2" xr3:uid="{00000000-0010-0000-0100-000002000000}" name="Datas" dataDxfId="1"/>
    <tableColumn id="3" xr3:uid="{00000000-0010-0000-0100-000003000000}" name="Entradas"/>
    <tableColumn id="4" xr3:uid="{00000000-0010-0000-0100-000004000000}" name="Saídas"/>
    <tableColumn id="5" xr3:uid="{00000000-0010-0000-0100-000005000000}" name="Saldos" dataDxfId="0">
      <calculatedColumnFormula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G2"/>
  <sheetViews>
    <sheetView showGridLines="0" tabSelected="1" zoomScale="130" zoomScaleNormal="130" workbookViewId="0">
      <selection activeCell="A7" sqref="A7"/>
    </sheetView>
  </sheetViews>
  <sheetFormatPr defaultColWidth="0" defaultRowHeight="15"/>
  <cols>
    <col min="1" max="1" width="40.5703125" customWidth="1"/>
    <col min="2" max="5" width="15.5703125" customWidth="1"/>
    <col min="6" max="6" width="22.7109375" customWidth="1"/>
    <col min="7" max="7" width="20.7109375" customWidth="1"/>
    <col min="8" max="8" width="9" hidden="1" customWidth="1"/>
    <col min="9" max="16384" width="9" hidden="1"/>
  </cols>
  <sheetData>
    <row r="1" s="1" customFormat="1" ht="39.950000000000003" customHeight="1"/>
    <row r="2" s="2" customFormat="1" ht="6.75" customHeight="1"/>
  </sheetData>
  <sheetProtection sheet="1" objects="1" scenarios="1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G15"/>
  <sheetViews>
    <sheetView showGridLines="0" zoomScale="130" zoomScaleNormal="130" workbookViewId="0">
      <selection activeCell="G1" sqref="G1"/>
    </sheetView>
  </sheetViews>
  <sheetFormatPr defaultColWidth="0" defaultRowHeight="15"/>
  <cols>
    <col min="1" max="1" width="40.5703125" customWidth="1"/>
    <col min="2" max="2" width="15.5703125" customWidth="1"/>
    <col min="3" max="5" width="15.5703125" style="6" customWidth="1"/>
    <col min="6" max="6" width="22.7109375" customWidth="1"/>
    <col min="7" max="7" width="20.7109375" customWidth="1"/>
    <col min="8" max="8" width="9" hidden="1" customWidth="1"/>
    <col min="9" max="16384" width="9" hidden="1"/>
  </cols>
  <sheetData>
    <row r="1" spans="1:6" s="1" customFormat="1" ht="39.950000000000003" customHeight="1">
      <c r="C1" s="4"/>
      <c r="D1" s="4"/>
      <c r="E1" s="4"/>
    </row>
    <row r="2" spans="1:6" s="2" customFormat="1" ht="6.75" customHeight="1">
      <c r="C2" s="5"/>
      <c r="D2" s="5"/>
      <c r="E2" s="5"/>
    </row>
    <row r="3" spans="1:6" s="3" customFormat="1" ht="37.5" customHeight="1">
      <c r="A3" s="3" t="s">
        <v>0</v>
      </c>
      <c r="B3" s="3" t="s">
        <v>1</v>
      </c>
      <c r="C3" s="7" t="s">
        <v>2</v>
      </c>
      <c r="D3" s="7" t="s">
        <v>3</v>
      </c>
      <c r="E3" s="8" t="s">
        <v>4</v>
      </c>
      <c r="F3" s="3" t="s">
        <v>5</v>
      </c>
    </row>
    <row r="4" spans="1:6" ht="15" customHeight="1">
      <c r="A4" t="s">
        <v>6</v>
      </c>
      <c r="B4" t="s">
        <v>7</v>
      </c>
      <c r="C4" s="6">
        <v>15</v>
      </c>
      <c r="D4" s="6">
        <v>80</v>
      </c>
      <c r="E4" s="9">
        <f>SUMIF(TBLancamentos[Produtos],TBCadastro[[#This Row],[Produtos]],TBLancamentos[Entradas])-SUMIF(TBLancamentos[Produtos],TBCadastro[[#This Row],[Produtos]],TBLancamentos[Saídas])</f>
        <v>2</v>
      </c>
      <c r="F4" s="10" t="str">
        <f>IF(TBCadastro[[#This Row],[Saldo]] &lt; TBCadastro[[#This Row],[Estoque
Minimo]],"Solicitar nova compra!",IF(TBCadastro[[#This Row],[Saldo]]&gt;TBCadastro[[#This Row],[Estoque
Máximo]],"Priorizar Venda!",""))</f>
        <v>Solicitar nova compra!</v>
      </c>
    </row>
    <row r="5" spans="1:6">
      <c r="A5" t="s">
        <v>8</v>
      </c>
      <c r="B5" t="s">
        <v>7</v>
      </c>
      <c r="C5" s="6">
        <v>15</v>
      </c>
      <c r="D5" s="6">
        <v>100</v>
      </c>
      <c r="E5" s="9">
        <f>SUMIF(TBLancamentos[Produtos],TBCadastro[[#This Row],[Produtos]],TBLancamentos[Entradas])-SUMIF(TBLancamentos[Produtos],TBCadastro[[#This Row],[Produtos]],TBLancamentos[Saídas])</f>
        <v>107</v>
      </c>
      <c r="F5" s="11" t="str">
        <f>IF(TBCadastro[[#This Row],[Saldo]] &lt; TBCadastro[[#This Row],[Estoque
Minimo]],"Solicitar nova compra!",IF(TBCadastro[[#This Row],[Saldo]]&gt;TBCadastro[[#This Row],[Estoque
Máximo]],"Priorizar Venda!",""))</f>
        <v>Priorizar Venda!</v>
      </c>
    </row>
    <row r="6" spans="1:6">
      <c r="A6" t="s">
        <v>9</v>
      </c>
      <c r="B6" t="s">
        <v>7</v>
      </c>
      <c r="C6" s="6">
        <v>10</v>
      </c>
      <c r="D6" s="6">
        <v>60</v>
      </c>
      <c r="E6" s="9">
        <f>SUMIF(TBLancamentos[Produtos],TBCadastro[[#This Row],[Produtos]],TBLancamentos[Entradas])-SUMIF(TBLancamentos[Produtos],TBCadastro[[#This Row],[Produtos]],TBLancamentos[Saídas])</f>
        <v>45</v>
      </c>
      <c r="F6" s="11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7" spans="1:6">
      <c r="A7" t="s">
        <v>10</v>
      </c>
      <c r="B7" t="s">
        <v>7</v>
      </c>
      <c r="C7" s="6">
        <v>20</v>
      </c>
      <c r="D7" s="6">
        <v>80</v>
      </c>
      <c r="E7" s="9">
        <f>SUMIF(TBLancamentos[Produtos],TBCadastro[[#This Row],[Produtos]],TBLancamentos[Entradas])-SUMIF(TBLancamentos[Produtos],TBCadastro[[#This Row],[Produtos]],TBLancamentos[Saídas])</f>
        <v>40</v>
      </c>
      <c r="F7" s="11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8" spans="1:6">
      <c r="A8" t="s">
        <v>11</v>
      </c>
      <c r="B8" t="s">
        <v>7</v>
      </c>
      <c r="C8">
        <v>15</v>
      </c>
      <c r="D8">
        <v>70</v>
      </c>
      <c r="E8">
        <f>SUMIF(TBLancamentos[Produtos],TBCadastro[[#This Row],[Produtos]],TBLancamentos[Entradas])-SUMIF(TBLancamentos[Produtos],TBCadastro[[#This Row],[Produtos]],TBLancamentos[Saídas])</f>
        <v>47</v>
      </c>
      <c r="F8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9" spans="1:6">
      <c r="A9" t="s">
        <v>12</v>
      </c>
      <c r="B9" t="s">
        <v>7</v>
      </c>
      <c r="C9">
        <v>10</v>
      </c>
      <c r="D9">
        <v>50</v>
      </c>
      <c r="E9">
        <f>SUMIF(TBLancamentos[Produtos],TBCadastro[[#This Row],[Produtos]],TBLancamentos[Entradas])-SUMIF(TBLancamentos[Produtos],TBCadastro[[#This Row],[Produtos]],TBLancamentos[Saídas])</f>
        <v>6</v>
      </c>
      <c r="F9" t="str">
        <f>IF(TBCadastro[[#This Row],[Saldo]] &lt; TBCadastro[[#This Row],[Estoque
Minimo]],"Solicitar nova compra!",IF(TBCadastro[[#This Row],[Saldo]]&gt;TBCadastro[[#This Row],[Estoque
Máximo]],"Priorizar Venda!",""))</f>
        <v>Solicitar nova compra!</v>
      </c>
    </row>
    <row r="10" spans="1:6">
      <c r="A10" t="s">
        <v>13</v>
      </c>
      <c r="B10" t="s">
        <v>7</v>
      </c>
      <c r="C10">
        <v>10</v>
      </c>
      <c r="D10">
        <v>50</v>
      </c>
      <c r="E10">
        <f>SUMIF(TBLancamentos[Produtos],TBCadastro[[#This Row],[Produtos]],TBLancamentos[Entradas])-SUMIF(TBLancamentos[Produtos],TBCadastro[[#This Row],[Produtos]],TBLancamentos[Saídas])</f>
        <v>32</v>
      </c>
      <c r="F10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11" spans="1:6">
      <c r="A11" t="s">
        <v>14</v>
      </c>
      <c r="B11" t="s">
        <v>7</v>
      </c>
      <c r="C11">
        <v>20</v>
      </c>
      <c r="D11">
        <v>100</v>
      </c>
      <c r="E11">
        <f>SUMIF(TBLancamentos[Produtos],TBCadastro[[#This Row],[Produtos]],TBLancamentos[Entradas])-SUMIF(TBLancamentos[Produtos],TBCadastro[[#This Row],[Produtos]],TBLancamentos[Saídas])</f>
        <v>81</v>
      </c>
      <c r="F11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12" spans="1:6">
      <c r="A12" t="s">
        <v>15</v>
      </c>
      <c r="B12" t="s">
        <v>7</v>
      </c>
      <c r="C12">
        <v>10</v>
      </c>
      <c r="D12">
        <v>60</v>
      </c>
      <c r="E12">
        <f>SUMIF(TBLancamentos[Produtos],TBCadastro[[#This Row],[Produtos]],TBLancamentos[Entradas])-SUMIF(TBLancamentos[Produtos],TBCadastro[[#This Row],[Produtos]],TBLancamentos[Saídas])</f>
        <v>48</v>
      </c>
      <c r="F12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13" spans="1:6">
      <c r="A13" t="s">
        <v>16</v>
      </c>
      <c r="B13" t="s">
        <v>7</v>
      </c>
      <c r="C13">
        <v>10</v>
      </c>
      <c r="D13">
        <v>45</v>
      </c>
      <c r="E13">
        <f>SUMIF(TBLancamentos[Produtos],TBCadastro[[#This Row],[Produtos]],TBLancamentos[Entradas])-SUMIF(TBLancamentos[Produtos],TBCadastro[[#This Row],[Produtos]],TBLancamentos[Saídas])</f>
        <v>33</v>
      </c>
      <c r="F13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14" spans="1:6">
      <c r="A14" t="s">
        <v>17</v>
      </c>
      <c r="B14" t="s">
        <v>7</v>
      </c>
      <c r="C14">
        <v>8</v>
      </c>
      <c r="D14">
        <v>30</v>
      </c>
      <c r="E14">
        <f>SUMIF(TBLancamentos[Produtos],TBCadastro[[#This Row],[Produtos]],TBLancamentos[Entradas])-SUMIF(TBLancamentos[Produtos],TBCadastro[[#This Row],[Produtos]],TBLancamentos[Saídas])</f>
        <v>12</v>
      </c>
      <c r="F14" t="str">
        <f>IF(TBCadastro[[#This Row],[Saldo]] &lt; TBCadastro[[#This Row],[Estoque
Minimo]],"Solicitar nova compra!",IF(TBCadastro[[#This Row],[Saldo]]&gt;TBCadastro[[#This Row],[Estoque
Máximo]],"Priorizar Venda!",""))</f>
        <v/>
      </c>
    </row>
    <row r="15" spans="1:6">
      <c r="A15" t="s">
        <v>18</v>
      </c>
      <c r="B15" t="s">
        <v>7</v>
      </c>
      <c r="C15">
        <v>10</v>
      </c>
      <c r="D15">
        <v>50</v>
      </c>
      <c r="E15">
        <f>SUMIF(TBLancamentos[Produtos],TBCadastro[[#This Row],[Produtos]],TBLancamentos[Entradas])-SUMIF(TBLancamentos[Produtos],TBCadastro[[#This Row],[Produtos]],TBLancamentos[Saídas])</f>
        <v>47</v>
      </c>
      <c r="F15" t="str">
        <f>IF(TBCadastro[[#This Row],[Saldo]] &lt; TBCadastro[[#This Row],[Estoque
Minimo]],"Solicitar nova compra!",IF(TBCadastro[[#This Row],[Saldo]]&gt;TBCadastro[[#This Row],[Estoque
Máximo]],"Priorizar Venda!",""))</f>
        <v/>
      </c>
    </row>
  </sheetData>
  <conditionalFormatting sqref="F4:F7">
    <cfRule type="cellIs" dxfId="10" priority="1" operator="equal">
      <formula>"Priorizar Venda!"</formula>
    </cfRule>
    <cfRule type="cellIs" dxfId="9" priority="2" operator="equal">
      <formula>"Solicitar nova compra!"</formula>
    </cfRule>
  </conditionalFormatting>
  <pageMargins left="0.511811024" right="0.511811024" top="0.78740157499999996" bottom="0.78740157499999996" header="0.31496062000000002" footer="0.31496062000000002"/>
  <pageSetup orientation="portrait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0"/>
  <sheetViews>
    <sheetView showGridLines="0" workbookViewId="0">
      <selection activeCell="G6" sqref="G6"/>
    </sheetView>
  </sheetViews>
  <sheetFormatPr defaultColWidth="0" defaultRowHeight="15"/>
  <cols>
    <col min="1" max="1" width="40.5703125" customWidth="1"/>
    <col min="2" max="5" width="15.5703125" customWidth="1"/>
    <col min="6" max="6" width="22.7109375" customWidth="1"/>
    <col min="7" max="7" width="20.7109375" customWidth="1"/>
  </cols>
  <sheetData>
    <row r="1" spans="1:5" s="1" customFormat="1" ht="39.75" customHeight="1"/>
    <row r="2" spans="1:5" s="2" customFormat="1" ht="6.75" customHeight="1"/>
    <row r="3" spans="1:5" s="14" customFormat="1" ht="18.75" customHeight="1">
      <c r="A3" s="12" t="s">
        <v>0</v>
      </c>
      <c r="B3" s="12" t="s">
        <v>19</v>
      </c>
      <c r="C3" s="13" t="s">
        <v>20</v>
      </c>
      <c r="D3" s="13" t="s">
        <v>21</v>
      </c>
      <c r="E3" s="13" t="s">
        <v>22</v>
      </c>
    </row>
    <row r="4" spans="1:5">
      <c r="A4" t="s">
        <v>6</v>
      </c>
      <c r="B4" s="15">
        <v>46025</v>
      </c>
      <c r="C4">
        <v>34</v>
      </c>
      <c r="D4">
        <v>0</v>
      </c>
      <c r="E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34</v>
      </c>
    </row>
    <row r="5" spans="1:5">
      <c r="A5" t="s">
        <v>15</v>
      </c>
      <c r="B5" s="15">
        <v>46025</v>
      </c>
      <c r="C5">
        <v>77</v>
      </c>
      <c r="D5">
        <v>0</v>
      </c>
      <c r="E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77</v>
      </c>
    </row>
    <row r="6" spans="1:5">
      <c r="A6" t="s">
        <v>14</v>
      </c>
      <c r="B6" s="15">
        <v>46026</v>
      </c>
      <c r="C6">
        <v>65</v>
      </c>
      <c r="D6">
        <v>0</v>
      </c>
      <c r="E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65</v>
      </c>
    </row>
    <row r="7" spans="1:5">
      <c r="A7" t="s">
        <v>16</v>
      </c>
      <c r="B7" s="15">
        <v>46027</v>
      </c>
      <c r="C7">
        <v>35</v>
      </c>
      <c r="D7">
        <v>0</v>
      </c>
      <c r="E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35</v>
      </c>
    </row>
    <row r="8" spans="1:5">
      <c r="A8" t="s">
        <v>8</v>
      </c>
      <c r="B8" s="15">
        <v>46028</v>
      </c>
      <c r="C8">
        <v>93</v>
      </c>
      <c r="D8">
        <v>0</v>
      </c>
      <c r="E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93</v>
      </c>
    </row>
    <row r="9" spans="1:5">
      <c r="A9" t="s">
        <v>9</v>
      </c>
      <c r="B9" s="15">
        <v>46029</v>
      </c>
      <c r="C9">
        <v>29</v>
      </c>
      <c r="D9">
        <v>0</v>
      </c>
      <c r="E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29</v>
      </c>
    </row>
    <row r="10" spans="1:5">
      <c r="A10" t="s">
        <v>12</v>
      </c>
      <c r="B10" s="15">
        <v>46030</v>
      </c>
      <c r="C10">
        <v>47</v>
      </c>
      <c r="D10">
        <v>0</v>
      </c>
      <c r="E1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11" spans="1:5">
      <c r="A11" t="s">
        <v>13</v>
      </c>
      <c r="B11" s="15">
        <v>46032</v>
      </c>
      <c r="C11">
        <v>62</v>
      </c>
      <c r="D11">
        <v>0</v>
      </c>
      <c r="E1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62</v>
      </c>
    </row>
    <row r="12" spans="1:5">
      <c r="A12" t="s">
        <v>18</v>
      </c>
      <c r="B12" s="15">
        <v>46032</v>
      </c>
      <c r="C12">
        <v>52</v>
      </c>
      <c r="D12">
        <v>0</v>
      </c>
      <c r="E1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52</v>
      </c>
    </row>
    <row r="13" spans="1:5">
      <c r="A13" t="s">
        <v>11</v>
      </c>
      <c r="B13" s="15">
        <v>46033</v>
      </c>
      <c r="C13">
        <v>47</v>
      </c>
      <c r="D13">
        <v>0</v>
      </c>
      <c r="E1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14" spans="1:5">
      <c r="A14" t="s">
        <v>10</v>
      </c>
      <c r="B14" s="15">
        <v>46033</v>
      </c>
      <c r="C14">
        <v>47</v>
      </c>
      <c r="D14">
        <v>0</v>
      </c>
      <c r="E1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15" spans="1:5">
      <c r="A15" t="s">
        <v>17</v>
      </c>
      <c r="B15" s="15">
        <v>46034</v>
      </c>
      <c r="C15">
        <v>33</v>
      </c>
      <c r="D15">
        <v>0</v>
      </c>
      <c r="E1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16" spans="1:5">
      <c r="A16" t="s">
        <v>9</v>
      </c>
      <c r="B16" s="15">
        <v>46035</v>
      </c>
      <c r="C16">
        <v>0</v>
      </c>
      <c r="D16">
        <v>29</v>
      </c>
      <c r="E1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0</v>
      </c>
    </row>
    <row r="17" spans="1:5">
      <c r="A17" t="s">
        <v>10</v>
      </c>
      <c r="B17" s="15">
        <v>46035</v>
      </c>
      <c r="C17">
        <v>0</v>
      </c>
      <c r="D17">
        <v>16</v>
      </c>
      <c r="E1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31</v>
      </c>
    </row>
    <row r="18" spans="1:5">
      <c r="A18" t="s">
        <v>17</v>
      </c>
      <c r="B18" s="15">
        <v>46035</v>
      </c>
      <c r="C18">
        <v>0</v>
      </c>
      <c r="D18">
        <v>18</v>
      </c>
      <c r="E1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15</v>
      </c>
    </row>
    <row r="19" spans="1:5">
      <c r="A19" t="s">
        <v>15</v>
      </c>
      <c r="B19" s="15">
        <v>46037</v>
      </c>
      <c r="C19">
        <v>27</v>
      </c>
      <c r="D19">
        <v>0</v>
      </c>
      <c r="E1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104</v>
      </c>
    </row>
    <row r="20" spans="1:5">
      <c r="A20" t="s">
        <v>10</v>
      </c>
      <c r="B20" s="15">
        <v>46039</v>
      </c>
      <c r="C20">
        <v>21</v>
      </c>
      <c r="D20">
        <v>0</v>
      </c>
      <c r="E2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52</v>
      </c>
    </row>
    <row r="21" spans="1:5">
      <c r="A21" t="s">
        <v>18</v>
      </c>
      <c r="B21" s="15">
        <v>46041</v>
      </c>
      <c r="C21">
        <v>20</v>
      </c>
      <c r="D21">
        <v>0</v>
      </c>
      <c r="E2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72</v>
      </c>
    </row>
    <row r="22" spans="1:5">
      <c r="A22" t="s">
        <v>6</v>
      </c>
      <c r="B22" s="15">
        <v>46042</v>
      </c>
      <c r="C22">
        <v>21</v>
      </c>
      <c r="D22">
        <v>0</v>
      </c>
      <c r="E2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55</v>
      </c>
    </row>
    <row r="23" spans="1:5">
      <c r="A23" t="s">
        <v>16</v>
      </c>
      <c r="B23" s="15">
        <v>46044</v>
      </c>
      <c r="C23">
        <v>8</v>
      </c>
      <c r="D23">
        <v>0</v>
      </c>
      <c r="E2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43</v>
      </c>
    </row>
    <row r="24" spans="1:5">
      <c r="A24" t="s">
        <v>15</v>
      </c>
      <c r="B24" s="15">
        <v>46045</v>
      </c>
      <c r="C24">
        <v>0</v>
      </c>
      <c r="D24">
        <v>7</v>
      </c>
      <c r="E2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97</v>
      </c>
    </row>
    <row r="25" spans="1:5">
      <c r="A25" t="s">
        <v>6</v>
      </c>
      <c r="B25" s="15">
        <v>46046</v>
      </c>
      <c r="C25">
        <v>0</v>
      </c>
      <c r="D25">
        <v>18</v>
      </c>
      <c r="E2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37</v>
      </c>
    </row>
    <row r="26" spans="1:5">
      <c r="A26" t="s">
        <v>8</v>
      </c>
      <c r="B26" s="15">
        <v>46046</v>
      </c>
      <c r="C26">
        <v>0</v>
      </c>
      <c r="D26">
        <v>22</v>
      </c>
      <c r="E2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71</v>
      </c>
    </row>
    <row r="27" spans="1:5">
      <c r="A27" t="s">
        <v>15</v>
      </c>
      <c r="B27" s="15">
        <v>46046</v>
      </c>
      <c r="C27">
        <v>29</v>
      </c>
      <c r="D27">
        <v>0</v>
      </c>
      <c r="E2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126</v>
      </c>
    </row>
    <row r="28" spans="1:5">
      <c r="A28" t="s">
        <v>17</v>
      </c>
      <c r="B28" s="15">
        <v>46046</v>
      </c>
      <c r="C28">
        <v>11</v>
      </c>
      <c r="D28">
        <v>0</v>
      </c>
      <c r="E2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26</v>
      </c>
    </row>
    <row r="29" spans="1:5">
      <c r="A29" t="s">
        <v>12</v>
      </c>
      <c r="B29" s="15">
        <v>46047</v>
      </c>
      <c r="C29">
        <v>0</v>
      </c>
      <c r="D29">
        <v>18</v>
      </c>
      <c r="E2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29</v>
      </c>
    </row>
    <row r="30" spans="1:5">
      <c r="A30" t="s">
        <v>9</v>
      </c>
      <c r="B30" s="15">
        <v>46047</v>
      </c>
      <c r="C30">
        <v>0</v>
      </c>
      <c r="D30">
        <v>5</v>
      </c>
      <c r="E3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-5</v>
      </c>
    </row>
    <row r="31" spans="1:5">
      <c r="A31" t="s">
        <v>10</v>
      </c>
      <c r="B31" s="15">
        <v>46049</v>
      </c>
      <c r="C31">
        <v>28</v>
      </c>
      <c r="D31">
        <v>0</v>
      </c>
      <c r="E3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80</v>
      </c>
    </row>
    <row r="32" spans="1:5">
      <c r="A32" t="s">
        <v>13</v>
      </c>
      <c r="B32" s="15">
        <v>46049</v>
      </c>
      <c r="C32">
        <v>20</v>
      </c>
      <c r="D32">
        <v>0</v>
      </c>
      <c r="E3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82</v>
      </c>
    </row>
    <row r="33" spans="1:5">
      <c r="A33" t="s">
        <v>12</v>
      </c>
      <c r="B33" s="15">
        <v>46050</v>
      </c>
      <c r="C33">
        <v>10</v>
      </c>
      <c r="D33">
        <v>0</v>
      </c>
      <c r="E3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39</v>
      </c>
    </row>
    <row r="34" spans="1:5">
      <c r="A34" t="s">
        <v>14</v>
      </c>
      <c r="B34" s="15">
        <v>46052</v>
      </c>
      <c r="C34">
        <v>0</v>
      </c>
      <c r="D34">
        <v>12</v>
      </c>
      <c r="E3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53</v>
      </c>
    </row>
    <row r="35" spans="1:5">
      <c r="A35" t="s">
        <v>13</v>
      </c>
      <c r="B35" s="15">
        <v>46052</v>
      </c>
      <c r="C35">
        <v>0</v>
      </c>
      <c r="D35">
        <v>22</v>
      </c>
      <c r="E3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60</v>
      </c>
    </row>
    <row r="36" spans="1:5">
      <c r="A36" t="s">
        <v>11</v>
      </c>
      <c r="B36" s="15">
        <v>46053</v>
      </c>
      <c r="C36">
        <v>0</v>
      </c>
      <c r="D36">
        <v>17</v>
      </c>
      <c r="E3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30</v>
      </c>
    </row>
    <row r="37" spans="1:5">
      <c r="A37" t="s">
        <v>8</v>
      </c>
      <c r="B37" s="15">
        <v>46053</v>
      </c>
      <c r="C37">
        <v>0</v>
      </c>
      <c r="D37">
        <v>6</v>
      </c>
      <c r="E3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65</v>
      </c>
    </row>
    <row r="38" spans="1:5">
      <c r="A38" t="s">
        <v>6</v>
      </c>
      <c r="B38" s="15">
        <v>46055</v>
      </c>
      <c r="C38">
        <v>0</v>
      </c>
      <c r="D38">
        <v>27</v>
      </c>
      <c r="E3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</v>
      </c>
    </row>
    <row r="39" spans="1:5">
      <c r="A39" t="s">
        <v>10</v>
      </c>
      <c r="B39" s="15">
        <v>46055</v>
      </c>
      <c r="C39">
        <v>25</v>
      </c>
      <c r="D39">
        <v>0</v>
      </c>
      <c r="E3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105</v>
      </c>
    </row>
    <row r="40" spans="1:5">
      <c r="A40" t="s">
        <v>6</v>
      </c>
      <c r="B40" s="15">
        <v>46057</v>
      </c>
      <c r="C40">
        <v>0</v>
      </c>
      <c r="D40">
        <v>2</v>
      </c>
      <c r="E4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</v>
      </c>
    </row>
    <row r="41" spans="1:5">
      <c r="A41" t="s">
        <v>12</v>
      </c>
      <c r="B41" s="15">
        <v>46058</v>
      </c>
      <c r="C41">
        <v>12</v>
      </c>
      <c r="D41">
        <v>0</v>
      </c>
      <c r="E4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51</v>
      </c>
    </row>
    <row r="42" spans="1:5">
      <c r="A42" t="s">
        <v>18</v>
      </c>
      <c r="B42" s="15">
        <v>46058</v>
      </c>
      <c r="C42">
        <v>0</v>
      </c>
      <c r="D42">
        <v>8</v>
      </c>
      <c r="E4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64</v>
      </c>
    </row>
    <row r="43" spans="1:5">
      <c r="A43" t="s">
        <v>11</v>
      </c>
      <c r="B43" s="15">
        <v>46059</v>
      </c>
      <c r="C43">
        <v>28</v>
      </c>
      <c r="D43">
        <v>0</v>
      </c>
      <c r="E4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44" spans="1:5">
      <c r="A44" t="s">
        <v>12</v>
      </c>
      <c r="B44" s="15">
        <v>46060</v>
      </c>
      <c r="C44">
        <v>15</v>
      </c>
      <c r="D44">
        <v>0</v>
      </c>
      <c r="E4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66</v>
      </c>
    </row>
    <row r="45" spans="1:5">
      <c r="A45" t="s">
        <v>14</v>
      </c>
      <c r="B45" s="15">
        <v>46060</v>
      </c>
      <c r="C45">
        <v>16</v>
      </c>
      <c r="D45">
        <v>0</v>
      </c>
      <c r="E4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69</v>
      </c>
    </row>
    <row r="46" spans="1:5">
      <c r="A46" t="s">
        <v>6</v>
      </c>
      <c r="B46" s="15">
        <v>46061</v>
      </c>
      <c r="C46">
        <v>0</v>
      </c>
      <c r="D46">
        <v>3</v>
      </c>
      <c r="E4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47" spans="1:5">
      <c r="A47" t="s">
        <v>12</v>
      </c>
      <c r="B47" s="15">
        <v>46062</v>
      </c>
      <c r="C47">
        <v>11</v>
      </c>
      <c r="D47">
        <v>0</v>
      </c>
      <c r="E4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77</v>
      </c>
    </row>
    <row r="48" spans="1:5">
      <c r="A48" t="s">
        <v>14</v>
      </c>
      <c r="B48" s="15">
        <v>46064</v>
      </c>
      <c r="C48">
        <v>0</v>
      </c>
      <c r="D48">
        <v>24</v>
      </c>
      <c r="E4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45</v>
      </c>
    </row>
    <row r="49" spans="1:5">
      <c r="A49" t="s">
        <v>16</v>
      </c>
      <c r="B49" s="15">
        <v>46064</v>
      </c>
      <c r="C49">
        <v>13</v>
      </c>
      <c r="D49">
        <v>0</v>
      </c>
      <c r="E4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56</v>
      </c>
    </row>
    <row r="50" spans="1:5">
      <c r="A50" t="s">
        <v>17</v>
      </c>
      <c r="B50" s="15">
        <v>46064</v>
      </c>
      <c r="C50">
        <v>0</v>
      </c>
      <c r="D50">
        <v>13</v>
      </c>
      <c r="E5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13</v>
      </c>
    </row>
    <row r="51" spans="1:5">
      <c r="A51" t="s">
        <v>11</v>
      </c>
      <c r="B51" s="15">
        <v>46065</v>
      </c>
      <c r="C51">
        <v>9</v>
      </c>
      <c r="D51">
        <v>0</v>
      </c>
      <c r="E5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67</v>
      </c>
    </row>
    <row r="52" spans="1:5">
      <c r="A52" t="s">
        <v>6</v>
      </c>
      <c r="B52" s="15">
        <v>46066</v>
      </c>
      <c r="C52">
        <v>31</v>
      </c>
      <c r="D52">
        <v>0</v>
      </c>
      <c r="E5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36</v>
      </c>
    </row>
    <row r="53" spans="1:5">
      <c r="A53" t="s">
        <v>10</v>
      </c>
      <c r="B53" s="15">
        <v>46067</v>
      </c>
      <c r="C53">
        <v>0</v>
      </c>
      <c r="D53">
        <v>18</v>
      </c>
      <c r="E5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87</v>
      </c>
    </row>
    <row r="54" spans="1:5">
      <c r="A54" t="s">
        <v>15</v>
      </c>
      <c r="B54" s="15">
        <v>46067</v>
      </c>
      <c r="C54">
        <v>16</v>
      </c>
      <c r="D54">
        <v>0</v>
      </c>
      <c r="E5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142</v>
      </c>
    </row>
    <row r="55" spans="1:5">
      <c r="A55" t="s">
        <v>11</v>
      </c>
      <c r="B55" s="15">
        <v>46068</v>
      </c>
      <c r="C55">
        <v>0</v>
      </c>
      <c r="D55">
        <v>29</v>
      </c>
      <c r="E5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38</v>
      </c>
    </row>
    <row r="56" spans="1:5">
      <c r="A56" t="s">
        <v>15</v>
      </c>
      <c r="B56" s="15">
        <v>46068</v>
      </c>
      <c r="C56">
        <v>0</v>
      </c>
      <c r="D56">
        <v>21</v>
      </c>
      <c r="E5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121</v>
      </c>
    </row>
    <row r="57" spans="1:5">
      <c r="A57" t="s">
        <v>18</v>
      </c>
      <c r="B57" s="15">
        <v>46072</v>
      </c>
      <c r="C57">
        <v>0</v>
      </c>
      <c r="D57">
        <v>1</v>
      </c>
      <c r="E5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63</v>
      </c>
    </row>
    <row r="58" spans="1:5">
      <c r="A58" t="s">
        <v>6</v>
      </c>
      <c r="B58" s="15">
        <v>46074</v>
      </c>
      <c r="C58">
        <v>28</v>
      </c>
      <c r="D58">
        <v>0</v>
      </c>
      <c r="E5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64</v>
      </c>
    </row>
    <row r="59" spans="1:5">
      <c r="A59" t="s">
        <v>9</v>
      </c>
      <c r="B59" s="15">
        <v>46075</v>
      </c>
      <c r="C59">
        <v>0</v>
      </c>
      <c r="D59">
        <v>15</v>
      </c>
      <c r="E5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-20</v>
      </c>
    </row>
    <row r="60" spans="1:5">
      <c r="A60" t="s">
        <v>8</v>
      </c>
      <c r="B60" s="15">
        <v>46076</v>
      </c>
      <c r="C60">
        <v>0</v>
      </c>
      <c r="D60">
        <v>12</v>
      </c>
      <c r="E6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53</v>
      </c>
    </row>
    <row r="61" spans="1:5">
      <c r="A61" t="s">
        <v>12</v>
      </c>
      <c r="B61" s="15">
        <v>46077</v>
      </c>
      <c r="C61">
        <v>20</v>
      </c>
      <c r="D61">
        <v>0</v>
      </c>
      <c r="E6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97</v>
      </c>
    </row>
    <row r="62" spans="1:5">
      <c r="A62" t="s">
        <v>10</v>
      </c>
      <c r="B62" s="15">
        <v>46077</v>
      </c>
      <c r="C62">
        <v>37</v>
      </c>
      <c r="D62">
        <v>0</v>
      </c>
      <c r="E6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124</v>
      </c>
    </row>
    <row r="63" spans="1:5">
      <c r="A63" t="s">
        <v>16</v>
      </c>
      <c r="B63" s="15">
        <v>46080</v>
      </c>
      <c r="C63">
        <v>0</v>
      </c>
      <c r="D63">
        <v>9</v>
      </c>
      <c r="E6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64" spans="1:5">
      <c r="A64" t="s">
        <v>12</v>
      </c>
      <c r="B64" s="15">
        <v>46081</v>
      </c>
      <c r="C64">
        <v>0</v>
      </c>
      <c r="D64">
        <v>9</v>
      </c>
      <c r="E6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88</v>
      </c>
    </row>
    <row r="65" spans="1:5">
      <c r="A65" t="s">
        <v>11</v>
      </c>
      <c r="B65" s="15">
        <v>46083</v>
      </c>
      <c r="C65">
        <v>10</v>
      </c>
      <c r="D65">
        <v>0</v>
      </c>
      <c r="E6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48</v>
      </c>
    </row>
    <row r="66" spans="1:5">
      <c r="A66" t="s">
        <v>13</v>
      </c>
      <c r="B66" s="15">
        <v>46083</v>
      </c>
      <c r="C66">
        <v>0</v>
      </c>
      <c r="D66">
        <v>10</v>
      </c>
      <c r="E6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50</v>
      </c>
    </row>
    <row r="67" spans="1:5">
      <c r="A67" t="s">
        <v>6</v>
      </c>
      <c r="B67" s="15">
        <v>46085</v>
      </c>
      <c r="C67">
        <v>0</v>
      </c>
      <c r="D67">
        <v>23</v>
      </c>
      <c r="E6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41</v>
      </c>
    </row>
    <row r="68" spans="1:5">
      <c r="A68" t="s">
        <v>17</v>
      </c>
      <c r="B68" s="15">
        <v>46085</v>
      </c>
      <c r="C68">
        <v>6</v>
      </c>
      <c r="D68">
        <v>0</v>
      </c>
      <c r="E6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19</v>
      </c>
    </row>
    <row r="69" spans="1:5">
      <c r="A69" t="s">
        <v>14</v>
      </c>
      <c r="B69" s="15">
        <v>46087</v>
      </c>
      <c r="C69">
        <v>0</v>
      </c>
      <c r="D69">
        <v>28</v>
      </c>
      <c r="E6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17</v>
      </c>
    </row>
    <row r="70" spans="1:5">
      <c r="A70" t="s">
        <v>13</v>
      </c>
      <c r="B70" s="15">
        <v>46087</v>
      </c>
      <c r="C70">
        <v>0</v>
      </c>
      <c r="D70">
        <v>6</v>
      </c>
      <c r="E7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44</v>
      </c>
    </row>
    <row r="71" spans="1:5">
      <c r="A71" t="s">
        <v>17</v>
      </c>
      <c r="B71" s="15">
        <v>46088</v>
      </c>
      <c r="C71">
        <v>14</v>
      </c>
      <c r="D71">
        <v>0</v>
      </c>
      <c r="E7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72" spans="1:5">
      <c r="A72" t="s">
        <v>12</v>
      </c>
      <c r="B72" s="15">
        <v>46089</v>
      </c>
      <c r="C72">
        <v>0</v>
      </c>
      <c r="D72">
        <v>29</v>
      </c>
      <c r="E7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59</v>
      </c>
    </row>
    <row r="73" spans="1:5">
      <c r="A73" t="s">
        <v>11</v>
      </c>
      <c r="B73" s="15">
        <v>46089</v>
      </c>
      <c r="C73">
        <v>0</v>
      </c>
      <c r="D73">
        <v>18</v>
      </c>
      <c r="E7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30</v>
      </c>
    </row>
    <row r="74" spans="1:5">
      <c r="A74" t="s">
        <v>8</v>
      </c>
      <c r="B74" s="15">
        <v>46089</v>
      </c>
      <c r="C74">
        <v>0</v>
      </c>
      <c r="D74">
        <v>19</v>
      </c>
      <c r="E7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34</v>
      </c>
    </row>
    <row r="75" spans="1:5">
      <c r="A75" t="s">
        <v>13</v>
      </c>
      <c r="B75" s="15">
        <v>46090</v>
      </c>
      <c r="C75">
        <v>0</v>
      </c>
      <c r="D75">
        <v>2</v>
      </c>
      <c r="E7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42</v>
      </c>
    </row>
    <row r="76" spans="1:5">
      <c r="A76" t="s">
        <v>11</v>
      </c>
      <c r="B76" s="15">
        <v>46091</v>
      </c>
      <c r="C76">
        <v>29</v>
      </c>
      <c r="D76">
        <v>0</v>
      </c>
      <c r="E7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59</v>
      </c>
    </row>
    <row r="77" spans="1:5">
      <c r="A77" t="s">
        <v>6</v>
      </c>
      <c r="B77" s="15">
        <v>46091</v>
      </c>
      <c r="C77">
        <v>24</v>
      </c>
      <c r="D77">
        <v>0</v>
      </c>
      <c r="E7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65</v>
      </c>
    </row>
    <row r="78" spans="1:5">
      <c r="A78" t="s">
        <v>9</v>
      </c>
      <c r="B78" s="15">
        <v>46091</v>
      </c>
      <c r="C78">
        <v>0</v>
      </c>
      <c r="D78">
        <v>5</v>
      </c>
      <c r="E7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-25</v>
      </c>
    </row>
    <row r="79" spans="1:5">
      <c r="A79" t="s">
        <v>16</v>
      </c>
      <c r="B79" s="15">
        <v>46091</v>
      </c>
      <c r="C79">
        <v>11</v>
      </c>
      <c r="D79">
        <v>0</v>
      </c>
      <c r="E7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80" spans="1:5">
      <c r="A80" t="s">
        <v>16</v>
      </c>
      <c r="B80" s="15">
        <v>46092</v>
      </c>
      <c r="C80">
        <v>11</v>
      </c>
      <c r="D80">
        <v>0</v>
      </c>
      <c r="E8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69</v>
      </c>
    </row>
    <row r="81" spans="1:5">
      <c r="A81" t="s">
        <v>18</v>
      </c>
      <c r="B81" s="15">
        <v>46092</v>
      </c>
      <c r="C81">
        <v>0</v>
      </c>
      <c r="D81">
        <v>5</v>
      </c>
      <c r="E8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82" spans="1:5">
      <c r="A82" t="s">
        <v>11</v>
      </c>
      <c r="B82" s="15">
        <v>46093</v>
      </c>
      <c r="C82">
        <v>0</v>
      </c>
      <c r="D82">
        <v>19</v>
      </c>
      <c r="E8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37</v>
      </c>
    </row>
    <row r="83" spans="1:5">
      <c r="A83" t="s">
        <v>11</v>
      </c>
      <c r="B83" s="15">
        <v>46093</v>
      </c>
      <c r="C83">
        <v>0</v>
      </c>
      <c r="D83">
        <v>3</v>
      </c>
      <c r="E8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37</v>
      </c>
    </row>
    <row r="84" spans="1:5">
      <c r="A84" t="s">
        <v>8</v>
      </c>
      <c r="B84" s="15">
        <v>46093</v>
      </c>
      <c r="C84">
        <v>0</v>
      </c>
      <c r="D84">
        <v>3</v>
      </c>
      <c r="E8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85" spans="1:5">
      <c r="A85" t="s">
        <v>8</v>
      </c>
      <c r="B85" s="15">
        <v>46093</v>
      </c>
      <c r="C85">
        <v>0</v>
      </c>
      <c r="D85">
        <v>26</v>
      </c>
      <c r="E8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86" spans="1:5">
      <c r="A86" t="s">
        <v>11</v>
      </c>
      <c r="B86" s="15">
        <v>46095</v>
      </c>
      <c r="C86">
        <v>22</v>
      </c>
      <c r="D86">
        <v>0</v>
      </c>
      <c r="E8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59</v>
      </c>
    </row>
    <row r="87" spans="1:5">
      <c r="A87" t="s">
        <v>13</v>
      </c>
      <c r="B87" s="15">
        <v>46096</v>
      </c>
      <c r="C87">
        <v>13</v>
      </c>
      <c r="D87">
        <v>0</v>
      </c>
      <c r="E8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55</v>
      </c>
    </row>
    <row r="88" spans="1:5">
      <c r="A88" t="s">
        <v>15</v>
      </c>
      <c r="B88" s="15">
        <v>46096</v>
      </c>
      <c r="C88">
        <v>40</v>
      </c>
      <c r="D88">
        <v>0</v>
      </c>
      <c r="E8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161</v>
      </c>
    </row>
    <row r="89" spans="1:5">
      <c r="A89" t="s">
        <v>6</v>
      </c>
      <c r="B89" s="15">
        <v>46097</v>
      </c>
      <c r="C89">
        <v>13</v>
      </c>
      <c r="D89">
        <v>0</v>
      </c>
      <c r="E8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78</v>
      </c>
    </row>
    <row r="90" spans="1:5">
      <c r="A90" t="s">
        <v>9</v>
      </c>
      <c r="B90" s="15">
        <v>46098</v>
      </c>
      <c r="C90">
        <v>0</v>
      </c>
      <c r="D90">
        <v>18</v>
      </c>
      <c r="E9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-43</v>
      </c>
    </row>
    <row r="91" spans="1:5">
      <c r="A91" t="s">
        <v>12</v>
      </c>
      <c r="B91" s="15">
        <v>46102</v>
      </c>
      <c r="C91">
        <v>0</v>
      </c>
      <c r="D91">
        <v>26</v>
      </c>
      <c r="E9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92" spans="1:5">
      <c r="A92" t="s">
        <v>14</v>
      </c>
      <c r="B92" s="15">
        <v>46102</v>
      </c>
      <c r="C92">
        <v>0</v>
      </c>
      <c r="D92">
        <v>9</v>
      </c>
      <c r="E9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</v>
      </c>
    </row>
    <row r="93" spans="1:5">
      <c r="A93" t="s">
        <v>9</v>
      </c>
      <c r="B93" s="15">
        <v>46102</v>
      </c>
      <c r="C93">
        <v>28</v>
      </c>
      <c r="D93">
        <v>0</v>
      </c>
      <c r="E9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-15</v>
      </c>
    </row>
    <row r="94" spans="1:5">
      <c r="A94" t="s">
        <v>15</v>
      </c>
      <c r="B94" s="15">
        <v>46102</v>
      </c>
      <c r="C94">
        <v>0</v>
      </c>
      <c r="D94">
        <v>6</v>
      </c>
      <c r="E9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155</v>
      </c>
    </row>
    <row r="95" spans="1:5">
      <c r="A95" t="s">
        <v>16</v>
      </c>
      <c r="B95" s="15">
        <v>46103</v>
      </c>
      <c r="C95">
        <v>8</v>
      </c>
      <c r="D95">
        <v>0</v>
      </c>
      <c r="E9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77</v>
      </c>
    </row>
    <row r="96" spans="1:5">
      <c r="A96" t="s">
        <v>14</v>
      </c>
      <c r="B96" s="15">
        <v>46104</v>
      </c>
      <c r="C96">
        <v>19</v>
      </c>
      <c r="D96">
        <v>0</v>
      </c>
      <c r="E9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27</v>
      </c>
    </row>
    <row r="97" spans="1:5">
      <c r="A97" t="s">
        <v>14</v>
      </c>
      <c r="B97" s="15">
        <v>46107</v>
      </c>
      <c r="C97">
        <v>36</v>
      </c>
      <c r="D97">
        <v>0</v>
      </c>
      <c r="E9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63</v>
      </c>
    </row>
    <row r="98" spans="1:5">
      <c r="A98" t="s">
        <v>18</v>
      </c>
      <c r="B98" s="15">
        <v>46107</v>
      </c>
      <c r="C98">
        <v>0</v>
      </c>
      <c r="D98">
        <v>17</v>
      </c>
      <c r="E9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41</v>
      </c>
    </row>
    <row r="99" spans="1:5">
      <c r="A99" t="s">
        <v>14</v>
      </c>
      <c r="B99" s="15">
        <v>46111</v>
      </c>
      <c r="C99">
        <v>0</v>
      </c>
      <c r="D99">
        <v>4</v>
      </c>
      <c r="E9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59</v>
      </c>
    </row>
    <row r="100" spans="1:5">
      <c r="A100" t="s">
        <v>13</v>
      </c>
      <c r="B100" s="15">
        <v>46111</v>
      </c>
      <c r="C100">
        <v>0</v>
      </c>
      <c r="D100">
        <v>15</v>
      </c>
      <c r="E10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40</v>
      </c>
    </row>
    <row r="101" spans="1:5">
      <c r="A101" t="s">
        <v>14</v>
      </c>
      <c r="B101" s="15">
        <v>46112</v>
      </c>
      <c r="C101">
        <v>0</v>
      </c>
      <c r="D101">
        <v>26</v>
      </c>
      <c r="E10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102" spans="1:5">
      <c r="A102" t="s">
        <v>17</v>
      </c>
      <c r="B102" s="15">
        <v>46112</v>
      </c>
      <c r="C102">
        <v>9</v>
      </c>
      <c r="D102">
        <v>0</v>
      </c>
      <c r="E10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42</v>
      </c>
    </row>
    <row r="103" spans="1:5">
      <c r="A103" t="s">
        <v>16</v>
      </c>
      <c r="B103" s="15">
        <v>46113</v>
      </c>
      <c r="C103">
        <v>12</v>
      </c>
      <c r="D103">
        <v>0</v>
      </c>
      <c r="E10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89</v>
      </c>
    </row>
    <row r="104" spans="1:5">
      <c r="A104" t="s">
        <v>10</v>
      </c>
      <c r="B104" s="15">
        <v>46113</v>
      </c>
      <c r="C104">
        <v>17</v>
      </c>
      <c r="D104">
        <v>0</v>
      </c>
      <c r="E10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141</v>
      </c>
    </row>
    <row r="105" spans="1:5">
      <c r="A105" t="s">
        <v>8</v>
      </c>
      <c r="B105" s="15">
        <v>46115</v>
      </c>
      <c r="C105">
        <v>11</v>
      </c>
      <c r="D105">
        <v>0</v>
      </c>
      <c r="E10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16</v>
      </c>
    </row>
    <row r="106" spans="1:5">
      <c r="A106" t="s">
        <v>13</v>
      </c>
      <c r="B106" s="15">
        <v>46115</v>
      </c>
      <c r="C106">
        <v>13</v>
      </c>
      <c r="D106">
        <v>0</v>
      </c>
      <c r="E10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53</v>
      </c>
    </row>
    <row r="107" spans="1:5">
      <c r="A107" t="s">
        <v>17</v>
      </c>
      <c r="B107" s="15">
        <v>46115</v>
      </c>
      <c r="C107">
        <v>15</v>
      </c>
      <c r="D107">
        <v>0</v>
      </c>
      <c r="E10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57</v>
      </c>
    </row>
    <row r="108" spans="1:5">
      <c r="A108" t="s">
        <v>17</v>
      </c>
      <c r="B108" s="15">
        <v>46117</v>
      </c>
      <c r="C108">
        <v>0</v>
      </c>
      <c r="D108">
        <v>8</v>
      </c>
      <c r="E10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49</v>
      </c>
    </row>
    <row r="109" spans="1:5">
      <c r="A109" t="s">
        <v>16</v>
      </c>
      <c r="B109" s="15">
        <v>46119</v>
      </c>
      <c r="C109">
        <v>5</v>
      </c>
      <c r="D109">
        <v>0</v>
      </c>
      <c r="E10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94</v>
      </c>
    </row>
    <row r="110" spans="1:5">
      <c r="A110" t="s">
        <v>16</v>
      </c>
      <c r="B110" s="15">
        <v>46120</v>
      </c>
      <c r="C110">
        <v>0</v>
      </c>
      <c r="D110">
        <v>7</v>
      </c>
      <c r="E11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87</v>
      </c>
    </row>
    <row r="111" spans="1:5">
      <c r="A111" t="s">
        <v>11</v>
      </c>
      <c r="B111" s="15">
        <v>46121</v>
      </c>
      <c r="C111">
        <v>24</v>
      </c>
      <c r="D111">
        <v>0</v>
      </c>
      <c r="E11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83</v>
      </c>
    </row>
    <row r="112" spans="1:5">
      <c r="A112" t="s">
        <v>6</v>
      </c>
      <c r="B112" s="15">
        <v>46122</v>
      </c>
      <c r="C112">
        <v>0</v>
      </c>
      <c r="D112">
        <v>9</v>
      </c>
      <c r="E11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24</v>
      </c>
    </row>
    <row r="113" spans="1:5">
      <c r="A113" t="s">
        <v>6</v>
      </c>
      <c r="B113" s="15">
        <v>46122</v>
      </c>
      <c r="C113">
        <v>0</v>
      </c>
      <c r="D113">
        <v>45</v>
      </c>
      <c r="E11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24</v>
      </c>
    </row>
    <row r="114" spans="1:5">
      <c r="A114" t="s">
        <v>9</v>
      </c>
      <c r="B114" s="15">
        <v>46122</v>
      </c>
      <c r="C114">
        <v>18</v>
      </c>
      <c r="D114">
        <v>0</v>
      </c>
      <c r="E11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</v>
      </c>
    </row>
    <row r="115" spans="1:5">
      <c r="A115" t="s">
        <v>6</v>
      </c>
      <c r="B115" s="15">
        <v>46123</v>
      </c>
      <c r="C115">
        <v>0</v>
      </c>
      <c r="D115">
        <v>26</v>
      </c>
      <c r="E11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</v>
      </c>
    </row>
    <row r="116" spans="1:5">
      <c r="A116" t="s">
        <v>14</v>
      </c>
      <c r="B116" s="15">
        <v>46124</v>
      </c>
      <c r="C116">
        <v>0</v>
      </c>
      <c r="D116">
        <v>29</v>
      </c>
      <c r="E11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</v>
      </c>
    </row>
    <row r="117" spans="1:5">
      <c r="A117" t="s">
        <v>16</v>
      </c>
      <c r="B117" s="15">
        <v>46124</v>
      </c>
      <c r="C117">
        <v>0</v>
      </c>
      <c r="D117">
        <v>13</v>
      </c>
      <c r="E11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74</v>
      </c>
    </row>
    <row r="118" spans="1:5">
      <c r="A118" t="s">
        <v>8</v>
      </c>
      <c r="B118" s="15">
        <v>46125</v>
      </c>
      <c r="C118">
        <v>0</v>
      </c>
      <c r="D118">
        <v>7</v>
      </c>
      <c r="E11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</v>
      </c>
    </row>
    <row r="119" spans="1:5">
      <c r="A119" t="s">
        <v>6</v>
      </c>
      <c r="B119" s="15">
        <v>46126</v>
      </c>
      <c r="C119">
        <v>0</v>
      </c>
      <c r="D119">
        <v>28</v>
      </c>
      <c r="E11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-30</v>
      </c>
    </row>
    <row r="120" spans="1:5">
      <c r="A120" t="s">
        <v>12</v>
      </c>
      <c r="B120" s="15">
        <v>46132</v>
      </c>
      <c r="C120">
        <v>17</v>
      </c>
      <c r="D120">
        <v>0</v>
      </c>
      <c r="E12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50</v>
      </c>
    </row>
    <row r="121" spans="1:5">
      <c r="A121" t="s">
        <v>6</v>
      </c>
      <c r="B121" s="15">
        <v>46132</v>
      </c>
      <c r="C121">
        <v>0</v>
      </c>
      <c r="D121">
        <v>4</v>
      </c>
      <c r="E12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-34</v>
      </c>
    </row>
    <row r="122" spans="1:5">
      <c r="A122" t="s">
        <v>8</v>
      </c>
      <c r="B122" s="15">
        <v>46132</v>
      </c>
      <c r="C122">
        <v>30</v>
      </c>
      <c r="D122">
        <v>0</v>
      </c>
      <c r="E12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39</v>
      </c>
    </row>
    <row r="123" spans="1:5">
      <c r="A123" t="s">
        <v>9</v>
      </c>
      <c r="B123" s="15">
        <v>46132</v>
      </c>
      <c r="C123">
        <v>0</v>
      </c>
      <c r="D123">
        <v>15</v>
      </c>
      <c r="E12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-12</v>
      </c>
    </row>
    <row r="124" spans="1:5">
      <c r="A124" t="s">
        <v>16</v>
      </c>
      <c r="B124" s="15">
        <v>46132</v>
      </c>
      <c r="C124">
        <v>0</v>
      </c>
      <c r="D124">
        <v>16</v>
      </c>
      <c r="E12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125" spans="1:5">
      <c r="A125" t="s">
        <v>18</v>
      </c>
      <c r="B125" s="15">
        <v>46133</v>
      </c>
      <c r="C125">
        <v>0</v>
      </c>
      <c r="D125">
        <v>8</v>
      </c>
      <c r="E12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126" spans="1:5">
      <c r="A126" t="s">
        <v>13</v>
      </c>
      <c r="B126" s="15">
        <v>46136</v>
      </c>
      <c r="C126">
        <v>25</v>
      </c>
      <c r="D126">
        <v>0</v>
      </c>
      <c r="E12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78</v>
      </c>
    </row>
    <row r="127" spans="1:5">
      <c r="A127" t="s">
        <v>9</v>
      </c>
      <c r="B127" s="15">
        <v>46137</v>
      </c>
      <c r="C127">
        <v>0</v>
      </c>
      <c r="D127">
        <v>12</v>
      </c>
      <c r="E12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-24</v>
      </c>
    </row>
    <row r="128" spans="1:5">
      <c r="A128" t="s">
        <v>16</v>
      </c>
      <c r="B128" s="15">
        <v>46137</v>
      </c>
      <c r="C128">
        <v>7</v>
      </c>
      <c r="D128">
        <v>0</v>
      </c>
      <c r="E12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65</v>
      </c>
    </row>
    <row r="129" spans="1:5">
      <c r="A129" t="s">
        <v>12</v>
      </c>
      <c r="B129" s="15">
        <v>46140</v>
      </c>
      <c r="C129">
        <v>0</v>
      </c>
      <c r="D129">
        <v>15</v>
      </c>
      <c r="E12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35</v>
      </c>
    </row>
    <row r="130" spans="1:5">
      <c r="A130" t="s">
        <v>13</v>
      </c>
      <c r="B130" s="15">
        <v>46142</v>
      </c>
      <c r="C130">
        <v>0</v>
      </c>
      <c r="D130">
        <v>17</v>
      </c>
      <c r="E13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61</v>
      </c>
    </row>
    <row r="131" spans="1:5">
      <c r="A131" t="s">
        <v>12</v>
      </c>
      <c r="B131" s="15">
        <v>46143</v>
      </c>
      <c r="C131">
        <v>0</v>
      </c>
      <c r="D131">
        <v>18</v>
      </c>
      <c r="E13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17</v>
      </c>
    </row>
    <row r="132" spans="1:5">
      <c r="A132" t="s">
        <v>9</v>
      </c>
      <c r="B132" s="15">
        <v>46143</v>
      </c>
      <c r="C132">
        <v>0</v>
      </c>
      <c r="D132">
        <v>13</v>
      </c>
      <c r="E13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-37</v>
      </c>
    </row>
    <row r="133" spans="1:5">
      <c r="A133" t="s">
        <v>11</v>
      </c>
      <c r="B133" s="15">
        <v>46147</v>
      </c>
      <c r="C133">
        <v>0</v>
      </c>
      <c r="D133">
        <v>15</v>
      </c>
      <c r="E13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68</v>
      </c>
    </row>
    <row r="134" spans="1:5">
      <c r="A134" t="s">
        <v>12</v>
      </c>
      <c r="B134" s="15">
        <v>46148</v>
      </c>
      <c r="C134">
        <v>0</v>
      </c>
      <c r="D134">
        <v>26</v>
      </c>
      <c r="E13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-9</v>
      </c>
    </row>
    <row r="135" spans="1:5">
      <c r="A135" t="s">
        <v>12</v>
      </c>
      <c r="B135" s="15">
        <v>46151</v>
      </c>
      <c r="C135">
        <v>14</v>
      </c>
      <c r="D135">
        <v>0</v>
      </c>
      <c r="E13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136" spans="1:5">
      <c r="A136" t="s">
        <v>18</v>
      </c>
      <c r="B136" s="15">
        <v>46151</v>
      </c>
      <c r="C136">
        <v>25</v>
      </c>
      <c r="D136">
        <v>0</v>
      </c>
      <c r="E13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77</v>
      </c>
    </row>
    <row r="137" spans="1:5">
      <c r="A137" t="s">
        <v>18</v>
      </c>
      <c r="B137" s="15">
        <v>46151</v>
      </c>
      <c r="C137">
        <v>19</v>
      </c>
      <c r="D137">
        <v>0</v>
      </c>
      <c r="E13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77</v>
      </c>
    </row>
    <row r="138" spans="1:5">
      <c r="A138" t="s">
        <v>14</v>
      </c>
      <c r="B138" s="15">
        <v>46152</v>
      </c>
      <c r="C138">
        <v>0</v>
      </c>
      <c r="D138">
        <v>19</v>
      </c>
      <c r="E13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-15</v>
      </c>
    </row>
    <row r="139" spans="1:5">
      <c r="A139" t="s">
        <v>12</v>
      </c>
      <c r="B139" s="15">
        <v>46153</v>
      </c>
      <c r="C139">
        <v>7</v>
      </c>
      <c r="D139">
        <v>0</v>
      </c>
      <c r="E13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</v>
      </c>
    </row>
    <row r="140" spans="1:5">
      <c r="A140" t="s">
        <v>8</v>
      </c>
      <c r="B140" s="15">
        <v>46153</v>
      </c>
      <c r="C140">
        <v>21</v>
      </c>
      <c r="D140">
        <v>0</v>
      </c>
      <c r="E14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60</v>
      </c>
    </row>
    <row r="141" spans="1:5">
      <c r="A141" t="s">
        <v>18</v>
      </c>
      <c r="B141" s="15">
        <v>46153</v>
      </c>
      <c r="C141">
        <v>6</v>
      </c>
      <c r="D141">
        <v>0</v>
      </c>
      <c r="E14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83</v>
      </c>
    </row>
    <row r="142" spans="1:5">
      <c r="A142" t="s">
        <v>13</v>
      </c>
      <c r="B142" s="15">
        <v>46163</v>
      </c>
      <c r="C142">
        <v>0</v>
      </c>
      <c r="D142">
        <v>30</v>
      </c>
      <c r="E14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31</v>
      </c>
    </row>
    <row r="143" spans="1:5">
      <c r="A143" t="s">
        <v>14</v>
      </c>
      <c r="B143" s="15">
        <v>46164</v>
      </c>
      <c r="C143">
        <v>39</v>
      </c>
      <c r="D143">
        <v>0</v>
      </c>
      <c r="E14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24</v>
      </c>
    </row>
    <row r="144" spans="1:5">
      <c r="A144" t="s">
        <v>6</v>
      </c>
      <c r="B144" s="15">
        <v>46164</v>
      </c>
      <c r="C144">
        <v>0</v>
      </c>
      <c r="D144">
        <v>18</v>
      </c>
      <c r="E14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-52</v>
      </c>
    </row>
    <row r="145" spans="1:5">
      <c r="A145" t="s">
        <v>17</v>
      </c>
      <c r="B145" s="15">
        <v>46164</v>
      </c>
      <c r="C145">
        <v>0</v>
      </c>
      <c r="D145">
        <v>10</v>
      </c>
      <c r="E14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39</v>
      </c>
    </row>
    <row r="146" spans="1:5">
      <c r="A146" t="s">
        <v>9</v>
      </c>
      <c r="B146" s="15">
        <v>46165</v>
      </c>
      <c r="C146">
        <v>0</v>
      </c>
      <c r="D146">
        <v>25</v>
      </c>
      <c r="E14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-62</v>
      </c>
    </row>
    <row r="147" spans="1:5">
      <c r="A147" t="s">
        <v>13</v>
      </c>
      <c r="B147" s="15">
        <v>46165</v>
      </c>
      <c r="C147">
        <v>10</v>
      </c>
      <c r="D147">
        <v>0</v>
      </c>
      <c r="E14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41</v>
      </c>
    </row>
    <row r="148" spans="1:5">
      <c r="A148" t="s">
        <v>9</v>
      </c>
      <c r="B148" s="15">
        <v>46170</v>
      </c>
      <c r="C148">
        <v>13</v>
      </c>
      <c r="D148">
        <v>0</v>
      </c>
      <c r="E14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-49</v>
      </c>
    </row>
    <row r="149" spans="1:5">
      <c r="A149" t="s">
        <v>10</v>
      </c>
      <c r="B149" s="15">
        <v>46170</v>
      </c>
      <c r="C149">
        <v>0</v>
      </c>
      <c r="D149">
        <v>30</v>
      </c>
      <c r="E14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111</v>
      </c>
    </row>
    <row r="150" spans="1:5">
      <c r="A150" t="s">
        <v>8</v>
      </c>
      <c r="B150" s="15">
        <v>46171</v>
      </c>
      <c r="C150">
        <v>0</v>
      </c>
      <c r="D150">
        <v>6</v>
      </c>
      <c r="E15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54</v>
      </c>
    </row>
    <row r="151" spans="1:5">
      <c r="A151" t="s">
        <v>12</v>
      </c>
      <c r="B151" s="15">
        <v>46172</v>
      </c>
      <c r="C151">
        <v>18</v>
      </c>
      <c r="D151">
        <v>0</v>
      </c>
      <c r="E15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30</v>
      </c>
    </row>
    <row r="152" spans="1:5">
      <c r="A152" t="s">
        <v>13</v>
      </c>
      <c r="B152" s="15">
        <v>46173</v>
      </c>
      <c r="C152">
        <v>15</v>
      </c>
      <c r="D152">
        <v>0</v>
      </c>
      <c r="E15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56</v>
      </c>
    </row>
    <row r="153" spans="1:5">
      <c r="A153" t="s">
        <v>14</v>
      </c>
      <c r="B153" s="15">
        <v>46174</v>
      </c>
      <c r="C153">
        <v>0</v>
      </c>
      <c r="D153">
        <v>23</v>
      </c>
      <c r="E15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</v>
      </c>
    </row>
    <row r="154" spans="1:5">
      <c r="A154" t="s">
        <v>6</v>
      </c>
      <c r="B154" s="15">
        <v>46174</v>
      </c>
      <c r="C154">
        <v>33</v>
      </c>
      <c r="D154">
        <v>0</v>
      </c>
      <c r="E15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-19</v>
      </c>
    </row>
    <row r="155" spans="1:5">
      <c r="A155" t="s">
        <v>17</v>
      </c>
      <c r="B155" s="15">
        <v>46175</v>
      </c>
      <c r="C155">
        <v>5</v>
      </c>
      <c r="D155">
        <v>0</v>
      </c>
      <c r="E15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44</v>
      </c>
    </row>
    <row r="156" spans="1:5">
      <c r="A156" t="s">
        <v>14</v>
      </c>
      <c r="B156" s="15">
        <v>46176</v>
      </c>
      <c r="C156">
        <v>14</v>
      </c>
      <c r="D156">
        <v>0</v>
      </c>
      <c r="E15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15</v>
      </c>
    </row>
    <row r="157" spans="1:5">
      <c r="A157" t="s">
        <v>9</v>
      </c>
      <c r="B157" s="15">
        <v>46176</v>
      </c>
      <c r="C157">
        <v>0</v>
      </c>
      <c r="D157">
        <v>1</v>
      </c>
      <c r="E15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-50</v>
      </c>
    </row>
    <row r="158" spans="1:5">
      <c r="A158" t="s">
        <v>15</v>
      </c>
      <c r="B158" s="15">
        <v>46176</v>
      </c>
      <c r="C158">
        <v>0</v>
      </c>
      <c r="D158">
        <v>18</v>
      </c>
      <c r="E15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137</v>
      </c>
    </row>
    <row r="159" spans="1:5">
      <c r="A159" t="s">
        <v>17</v>
      </c>
      <c r="B159" s="15">
        <v>46176</v>
      </c>
      <c r="C159">
        <v>11</v>
      </c>
      <c r="D159">
        <v>0</v>
      </c>
      <c r="E15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55</v>
      </c>
    </row>
    <row r="160" spans="1:5">
      <c r="A160" t="s">
        <v>18</v>
      </c>
      <c r="B160" s="15">
        <v>46177</v>
      </c>
      <c r="C160">
        <v>8</v>
      </c>
      <c r="D160">
        <v>0</v>
      </c>
      <c r="E16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91</v>
      </c>
    </row>
    <row r="161" spans="1:5">
      <c r="A161" t="s">
        <v>15</v>
      </c>
      <c r="B161" s="15">
        <v>46178</v>
      </c>
      <c r="C161">
        <v>0</v>
      </c>
      <c r="D161">
        <v>14</v>
      </c>
      <c r="E16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123</v>
      </c>
    </row>
    <row r="162" spans="1:5">
      <c r="A162" t="s">
        <v>11</v>
      </c>
      <c r="B162" s="15">
        <v>46181</v>
      </c>
      <c r="C162">
        <v>0</v>
      </c>
      <c r="D162">
        <v>8</v>
      </c>
      <c r="E16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60</v>
      </c>
    </row>
    <row r="163" spans="1:5">
      <c r="A163" t="s">
        <v>18</v>
      </c>
      <c r="B163" s="15">
        <v>46182</v>
      </c>
      <c r="C163">
        <v>0</v>
      </c>
      <c r="D163">
        <v>7</v>
      </c>
      <c r="E16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84</v>
      </c>
    </row>
    <row r="164" spans="1:5">
      <c r="A164" t="s">
        <v>13</v>
      </c>
      <c r="B164" s="15">
        <v>46183</v>
      </c>
      <c r="C164">
        <v>0</v>
      </c>
      <c r="D164">
        <v>24</v>
      </c>
      <c r="E16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32</v>
      </c>
    </row>
    <row r="165" spans="1:5">
      <c r="A165" t="s">
        <v>9</v>
      </c>
      <c r="B165" s="15">
        <v>46184</v>
      </c>
      <c r="C165">
        <v>23</v>
      </c>
      <c r="D165">
        <v>0</v>
      </c>
      <c r="E16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-27</v>
      </c>
    </row>
    <row r="166" spans="1:5">
      <c r="A166" t="s">
        <v>15</v>
      </c>
      <c r="B166" s="15">
        <v>46184</v>
      </c>
      <c r="C166">
        <v>0</v>
      </c>
      <c r="D166">
        <v>14</v>
      </c>
      <c r="E16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109</v>
      </c>
    </row>
    <row r="167" spans="1:5">
      <c r="A167" t="s">
        <v>16</v>
      </c>
      <c r="B167" s="15">
        <v>46187</v>
      </c>
      <c r="C167">
        <v>15</v>
      </c>
      <c r="D167">
        <v>0</v>
      </c>
      <c r="E16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80</v>
      </c>
    </row>
    <row r="168" spans="1:5">
      <c r="A168" t="s">
        <v>13</v>
      </c>
      <c r="B168" s="15">
        <v>46187</v>
      </c>
      <c r="C168">
        <v>6</v>
      </c>
      <c r="D168">
        <v>0</v>
      </c>
      <c r="E16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38</v>
      </c>
    </row>
    <row r="169" spans="1:5">
      <c r="A169" t="s">
        <v>14</v>
      </c>
      <c r="B169" s="15">
        <v>46189</v>
      </c>
      <c r="C169">
        <v>20</v>
      </c>
      <c r="D169">
        <v>0</v>
      </c>
      <c r="E16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35</v>
      </c>
    </row>
    <row r="170" spans="1:5">
      <c r="A170" t="s">
        <v>10</v>
      </c>
      <c r="B170" s="15">
        <v>46190</v>
      </c>
      <c r="C170">
        <v>21</v>
      </c>
      <c r="D170">
        <v>0</v>
      </c>
      <c r="E17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118</v>
      </c>
    </row>
    <row r="171" spans="1:5">
      <c r="A171" t="s">
        <v>10</v>
      </c>
      <c r="B171" s="15">
        <v>46190</v>
      </c>
      <c r="C171">
        <v>0</v>
      </c>
      <c r="D171">
        <v>14</v>
      </c>
      <c r="E17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118</v>
      </c>
    </row>
    <row r="172" spans="1:5">
      <c r="A172" t="s">
        <v>17</v>
      </c>
      <c r="B172" s="15">
        <v>46190</v>
      </c>
      <c r="C172">
        <v>0</v>
      </c>
      <c r="D172">
        <v>21</v>
      </c>
      <c r="E17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34</v>
      </c>
    </row>
    <row r="173" spans="1:5">
      <c r="A173" t="s">
        <v>18</v>
      </c>
      <c r="B173" s="15">
        <v>46191</v>
      </c>
      <c r="C173">
        <v>0</v>
      </c>
      <c r="D173">
        <v>3</v>
      </c>
      <c r="E17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81</v>
      </c>
    </row>
    <row r="174" spans="1:5">
      <c r="A174" t="s">
        <v>17</v>
      </c>
      <c r="B174" s="15">
        <v>46192</v>
      </c>
      <c r="C174">
        <v>0</v>
      </c>
      <c r="D174">
        <v>7</v>
      </c>
      <c r="E17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27</v>
      </c>
    </row>
    <row r="175" spans="1:5">
      <c r="A175" t="s">
        <v>14</v>
      </c>
      <c r="B175" s="15">
        <v>46193</v>
      </c>
      <c r="C175">
        <v>50</v>
      </c>
      <c r="D175">
        <v>0</v>
      </c>
      <c r="E17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85</v>
      </c>
    </row>
    <row r="176" spans="1:5">
      <c r="A176" t="s">
        <v>13</v>
      </c>
      <c r="B176" s="15">
        <v>46193</v>
      </c>
      <c r="C176">
        <v>7</v>
      </c>
      <c r="D176">
        <v>0</v>
      </c>
      <c r="E17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45</v>
      </c>
    </row>
    <row r="177" spans="1:5">
      <c r="A177" t="s">
        <v>15</v>
      </c>
      <c r="B177" s="15">
        <v>46193</v>
      </c>
      <c r="C177">
        <v>0</v>
      </c>
      <c r="D177">
        <v>30</v>
      </c>
      <c r="E17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79</v>
      </c>
    </row>
    <row r="178" spans="1:5">
      <c r="A178" t="s">
        <v>6</v>
      </c>
      <c r="B178" s="15">
        <v>46195</v>
      </c>
      <c r="C178">
        <v>30</v>
      </c>
      <c r="D178">
        <v>0</v>
      </c>
      <c r="E17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11</v>
      </c>
    </row>
    <row r="179" spans="1:5">
      <c r="A179" t="s">
        <v>9</v>
      </c>
      <c r="B179" s="15">
        <v>46195</v>
      </c>
      <c r="C179">
        <v>26</v>
      </c>
      <c r="D179">
        <v>0</v>
      </c>
      <c r="E17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-1</v>
      </c>
    </row>
    <row r="180" spans="1:5">
      <c r="A180" t="s">
        <v>11</v>
      </c>
      <c r="B180" s="15">
        <v>46196</v>
      </c>
      <c r="C180">
        <v>0</v>
      </c>
      <c r="D180">
        <v>2</v>
      </c>
      <c r="E18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181" spans="1:5">
      <c r="A181" t="s">
        <v>15</v>
      </c>
      <c r="B181" s="15">
        <v>46197</v>
      </c>
      <c r="C181">
        <v>0</v>
      </c>
      <c r="D181">
        <v>14</v>
      </c>
      <c r="E18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65</v>
      </c>
    </row>
    <row r="182" spans="1:5">
      <c r="A182" t="s">
        <v>10</v>
      </c>
      <c r="B182" s="15">
        <v>46198</v>
      </c>
      <c r="C182">
        <v>26</v>
      </c>
      <c r="D182">
        <v>0</v>
      </c>
      <c r="E18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144</v>
      </c>
    </row>
    <row r="183" spans="1:5">
      <c r="A183" t="s">
        <v>11</v>
      </c>
      <c r="B183" s="15">
        <v>46201</v>
      </c>
      <c r="C183">
        <v>0</v>
      </c>
      <c r="D183">
        <v>12</v>
      </c>
      <c r="E18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46</v>
      </c>
    </row>
    <row r="184" spans="1:5">
      <c r="A184" t="s">
        <v>12</v>
      </c>
      <c r="B184" s="15">
        <v>46202</v>
      </c>
      <c r="C184">
        <v>25</v>
      </c>
      <c r="D184">
        <v>0</v>
      </c>
      <c r="E18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55</v>
      </c>
    </row>
    <row r="185" spans="1:5">
      <c r="A185" t="s">
        <v>14</v>
      </c>
      <c r="B185" s="15">
        <v>46202</v>
      </c>
      <c r="C185">
        <v>0</v>
      </c>
      <c r="D185">
        <v>22</v>
      </c>
      <c r="E18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63</v>
      </c>
    </row>
    <row r="186" spans="1:5">
      <c r="A186" t="s">
        <v>8</v>
      </c>
      <c r="B186" s="15">
        <v>46202</v>
      </c>
      <c r="C186">
        <v>0</v>
      </c>
      <c r="D186">
        <v>29</v>
      </c>
      <c r="E18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25</v>
      </c>
    </row>
    <row r="187" spans="1:5">
      <c r="A187" t="s">
        <v>18</v>
      </c>
      <c r="B187" s="15">
        <v>46203</v>
      </c>
      <c r="C187">
        <v>0</v>
      </c>
      <c r="D187">
        <v>3</v>
      </c>
      <c r="E18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78</v>
      </c>
    </row>
    <row r="188" spans="1:5">
      <c r="A188" t="s">
        <v>18</v>
      </c>
      <c r="B188" s="15">
        <v>46204</v>
      </c>
      <c r="C188">
        <v>0</v>
      </c>
      <c r="D188">
        <v>11</v>
      </c>
      <c r="E18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67</v>
      </c>
    </row>
    <row r="189" spans="1:5">
      <c r="A189" t="s">
        <v>15</v>
      </c>
      <c r="B189" s="15">
        <v>46205</v>
      </c>
      <c r="C189">
        <v>29</v>
      </c>
      <c r="D189">
        <v>0</v>
      </c>
      <c r="E18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94</v>
      </c>
    </row>
    <row r="190" spans="1:5">
      <c r="A190" t="s">
        <v>17</v>
      </c>
      <c r="B190" s="15">
        <v>46205</v>
      </c>
      <c r="C190">
        <v>0</v>
      </c>
      <c r="D190">
        <v>20</v>
      </c>
      <c r="E19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191" spans="1:5">
      <c r="A191" t="s">
        <v>17</v>
      </c>
      <c r="B191" s="15">
        <v>46205</v>
      </c>
      <c r="C191">
        <v>11</v>
      </c>
      <c r="D191">
        <v>0</v>
      </c>
      <c r="E19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192" spans="1:5">
      <c r="A192" t="s">
        <v>17</v>
      </c>
      <c r="B192" s="15">
        <v>46205</v>
      </c>
      <c r="C192">
        <v>0</v>
      </c>
      <c r="D192">
        <v>13</v>
      </c>
      <c r="E19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193" spans="1:5">
      <c r="A193" t="s">
        <v>8</v>
      </c>
      <c r="B193" s="15">
        <v>46206</v>
      </c>
      <c r="C193">
        <v>0</v>
      </c>
      <c r="D193">
        <v>9</v>
      </c>
      <c r="E19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16</v>
      </c>
    </row>
    <row r="194" spans="1:5">
      <c r="A194" t="s">
        <v>18</v>
      </c>
      <c r="B194" s="15">
        <v>46207</v>
      </c>
      <c r="C194">
        <v>14</v>
      </c>
      <c r="D194">
        <v>0</v>
      </c>
      <c r="E19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81</v>
      </c>
    </row>
    <row r="195" spans="1:5">
      <c r="A195" t="s">
        <v>17</v>
      </c>
      <c r="B195" s="15">
        <v>46207</v>
      </c>
      <c r="C195">
        <v>8</v>
      </c>
      <c r="D195">
        <v>0</v>
      </c>
      <c r="E19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13</v>
      </c>
    </row>
    <row r="196" spans="1:5">
      <c r="A196" t="s">
        <v>6</v>
      </c>
      <c r="B196" s="15">
        <v>46208</v>
      </c>
      <c r="C196">
        <v>0</v>
      </c>
      <c r="D196">
        <v>18</v>
      </c>
      <c r="E19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-7</v>
      </c>
    </row>
    <row r="197" spans="1:5">
      <c r="A197" t="s">
        <v>16</v>
      </c>
      <c r="B197" s="15">
        <v>46208</v>
      </c>
      <c r="C197">
        <v>0</v>
      </c>
      <c r="D197">
        <v>18</v>
      </c>
      <c r="E19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62</v>
      </c>
    </row>
    <row r="198" spans="1:5">
      <c r="A198" t="s">
        <v>17</v>
      </c>
      <c r="B198" s="15">
        <v>46208</v>
      </c>
      <c r="C198">
        <v>0</v>
      </c>
      <c r="D198">
        <v>6</v>
      </c>
      <c r="E19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</v>
      </c>
    </row>
    <row r="199" spans="1:5">
      <c r="A199" t="s">
        <v>9</v>
      </c>
      <c r="B199" s="15">
        <v>46209</v>
      </c>
      <c r="C199">
        <v>0</v>
      </c>
      <c r="D199">
        <v>22</v>
      </c>
      <c r="E19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-23</v>
      </c>
    </row>
    <row r="200" spans="1:5">
      <c r="A200" t="s">
        <v>15</v>
      </c>
      <c r="B200" s="15">
        <v>46209</v>
      </c>
      <c r="C200">
        <v>12</v>
      </c>
      <c r="D200">
        <v>0</v>
      </c>
      <c r="E20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106</v>
      </c>
    </row>
    <row r="201" spans="1:5">
      <c r="A201" t="s">
        <v>8</v>
      </c>
      <c r="B201" s="15">
        <v>46210</v>
      </c>
      <c r="C201">
        <v>10</v>
      </c>
      <c r="D201">
        <v>0</v>
      </c>
      <c r="E20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26</v>
      </c>
    </row>
    <row r="202" spans="1:5">
      <c r="A202" t="s">
        <v>17</v>
      </c>
      <c r="B202" s="15">
        <v>46210</v>
      </c>
      <c r="C202">
        <v>15</v>
      </c>
      <c r="D202">
        <v>0</v>
      </c>
      <c r="E20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22</v>
      </c>
    </row>
    <row r="203" spans="1:5">
      <c r="A203" t="s">
        <v>17</v>
      </c>
      <c r="B203" s="15">
        <v>46213</v>
      </c>
      <c r="C203">
        <v>0</v>
      </c>
      <c r="D203">
        <v>10</v>
      </c>
      <c r="E20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</v>
      </c>
    </row>
    <row r="204" spans="1:5">
      <c r="A204" t="s">
        <v>8</v>
      </c>
      <c r="B204" s="15">
        <v>46214</v>
      </c>
      <c r="C204">
        <v>0</v>
      </c>
      <c r="D204">
        <v>21</v>
      </c>
      <c r="E20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</v>
      </c>
    </row>
    <row r="205" spans="1:5">
      <c r="A205" t="s">
        <v>11</v>
      </c>
      <c r="B205" s="15">
        <v>46217</v>
      </c>
      <c r="C205">
        <v>28</v>
      </c>
      <c r="D205">
        <v>0</v>
      </c>
      <c r="E20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74</v>
      </c>
    </row>
    <row r="206" spans="1:5">
      <c r="A206" t="s">
        <v>18</v>
      </c>
      <c r="B206" s="15">
        <v>46218</v>
      </c>
      <c r="C206">
        <v>0</v>
      </c>
      <c r="D206">
        <v>23</v>
      </c>
      <c r="E20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58</v>
      </c>
    </row>
    <row r="207" spans="1:5">
      <c r="A207" t="s">
        <v>9</v>
      </c>
      <c r="B207" s="15">
        <v>46219</v>
      </c>
      <c r="C207">
        <v>21</v>
      </c>
      <c r="D207">
        <v>0</v>
      </c>
      <c r="E20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-2</v>
      </c>
    </row>
    <row r="208" spans="1:5">
      <c r="A208" t="s">
        <v>10</v>
      </c>
      <c r="B208" s="15">
        <v>46221</v>
      </c>
      <c r="C208">
        <v>0</v>
      </c>
      <c r="D208">
        <v>35</v>
      </c>
      <c r="E20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109</v>
      </c>
    </row>
    <row r="209" spans="1:5">
      <c r="A209" t="s">
        <v>16</v>
      </c>
      <c r="B209" s="15">
        <v>46223</v>
      </c>
      <c r="C209">
        <v>0</v>
      </c>
      <c r="D209">
        <v>30</v>
      </c>
      <c r="E20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32</v>
      </c>
    </row>
    <row r="210" spans="1:5">
      <c r="A210" t="s">
        <v>15</v>
      </c>
      <c r="B210" s="15">
        <v>46224</v>
      </c>
      <c r="C210">
        <v>0</v>
      </c>
      <c r="D210">
        <v>15</v>
      </c>
      <c r="E21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91</v>
      </c>
    </row>
    <row r="211" spans="1:5">
      <c r="A211" t="s">
        <v>9</v>
      </c>
      <c r="B211" s="15">
        <v>46227</v>
      </c>
      <c r="C211">
        <v>25</v>
      </c>
      <c r="D211">
        <v>0</v>
      </c>
      <c r="E21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23</v>
      </c>
    </row>
    <row r="212" spans="1:5">
      <c r="A212" t="s">
        <v>10</v>
      </c>
      <c r="B212" s="15">
        <v>46229</v>
      </c>
      <c r="C212">
        <v>0</v>
      </c>
      <c r="D212">
        <v>18</v>
      </c>
      <c r="E21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91</v>
      </c>
    </row>
    <row r="213" spans="1:5">
      <c r="A213" t="s">
        <v>10</v>
      </c>
      <c r="B213" s="15">
        <v>46230</v>
      </c>
      <c r="C213">
        <v>40</v>
      </c>
      <c r="D213">
        <v>0</v>
      </c>
      <c r="E21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131</v>
      </c>
    </row>
    <row r="214" spans="1:5">
      <c r="A214" t="s">
        <v>10</v>
      </c>
      <c r="B214" s="15">
        <v>46231</v>
      </c>
      <c r="C214">
        <v>0</v>
      </c>
      <c r="D214">
        <v>5</v>
      </c>
      <c r="E21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126</v>
      </c>
    </row>
    <row r="215" spans="1:5">
      <c r="A215" t="s">
        <v>16</v>
      </c>
      <c r="B215" s="15">
        <v>46232</v>
      </c>
      <c r="C215">
        <v>0</v>
      </c>
      <c r="D215">
        <v>9</v>
      </c>
      <c r="E21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23</v>
      </c>
    </row>
    <row r="216" spans="1:5">
      <c r="A216" t="s">
        <v>10</v>
      </c>
      <c r="B216" s="15">
        <v>46234</v>
      </c>
      <c r="C216">
        <v>0</v>
      </c>
      <c r="D216">
        <v>30</v>
      </c>
      <c r="E21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96</v>
      </c>
    </row>
    <row r="217" spans="1:5">
      <c r="A217" t="s">
        <v>18</v>
      </c>
      <c r="B217" s="15">
        <v>46234</v>
      </c>
      <c r="C217">
        <v>10</v>
      </c>
      <c r="D217">
        <v>0</v>
      </c>
      <c r="E21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68</v>
      </c>
    </row>
    <row r="218" spans="1:5">
      <c r="A218" t="s">
        <v>11</v>
      </c>
      <c r="B218" s="15">
        <v>46235</v>
      </c>
      <c r="C218">
        <v>0</v>
      </c>
      <c r="D218">
        <v>14</v>
      </c>
      <c r="E21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60</v>
      </c>
    </row>
    <row r="219" spans="1:5">
      <c r="A219" t="s">
        <v>12</v>
      </c>
      <c r="B219" s="15">
        <v>46239</v>
      </c>
      <c r="C219">
        <v>0</v>
      </c>
      <c r="D219">
        <v>28</v>
      </c>
      <c r="E21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27</v>
      </c>
    </row>
    <row r="220" spans="1:5">
      <c r="A220" t="s">
        <v>16</v>
      </c>
      <c r="B220" s="15">
        <v>46240</v>
      </c>
      <c r="C220">
        <v>12</v>
      </c>
      <c r="D220">
        <v>0</v>
      </c>
      <c r="E22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35</v>
      </c>
    </row>
    <row r="221" spans="1:5">
      <c r="A221" t="s">
        <v>18</v>
      </c>
      <c r="B221" s="15">
        <v>46240</v>
      </c>
      <c r="C221">
        <v>0</v>
      </c>
      <c r="D221">
        <v>17</v>
      </c>
      <c r="E22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51</v>
      </c>
    </row>
    <row r="222" spans="1:5">
      <c r="A222" t="s">
        <v>6</v>
      </c>
      <c r="B222" s="15">
        <v>46241</v>
      </c>
      <c r="C222">
        <v>34</v>
      </c>
      <c r="D222">
        <v>0</v>
      </c>
      <c r="E22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27</v>
      </c>
    </row>
    <row r="223" spans="1:5">
      <c r="A223" t="s">
        <v>6</v>
      </c>
      <c r="B223" s="15">
        <v>46242</v>
      </c>
      <c r="C223">
        <v>0</v>
      </c>
      <c r="D223">
        <v>25</v>
      </c>
      <c r="E22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</v>
      </c>
    </row>
    <row r="224" spans="1:5">
      <c r="A224" t="s">
        <v>10</v>
      </c>
      <c r="B224" s="15">
        <v>46243</v>
      </c>
      <c r="C224">
        <v>0</v>
      </c>
      <c r="D224">
        <v>3</v>
      </c>
      <c r="E22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93</v>
      </c>
    </row>
    <row r="225" spans="1:5">
      <c r="A225" t="s">
        <v>14</v>
      </c>
      <c r="B225" s="15">
        <v>46244</v>
      </c>
      <c r="C225">
        <v>27</v>
      </c>
      <c r="D225">
        <v>0</v>
      </c>
      <c r="E22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90</v>
      </c>
    </row>
    <row r="226" spans="1:5">
      <c r="A226" t="s">
        <v>16</v>
      </c>
      <c r="B226" s="15">
        <v>46244</v>
      </c>
      <c r="C226">
        <v>0</v>
      </c>
      <c r="D226">
        <v>12</v>
      </c>
      <c r="E22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23</v>
      </c>
    </row>
    <row r="227" spans="1:5">
      <c r="A227" t="s">
        <v>15</v>
      </c>
      <c r="B227" s="15">
        <v>46247</v>
      </c>
      <c r="C227">
        <v>0</v>
      </c>
      <c r="D227">
        <v>9</v>
      </c>
      <c r="E22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82</v>
      </c>
    </row>
    <row r="228" spans="1:5">
      <c r="A228" t="s">
        <v>15</v>
      </c>
      <c r="B228" s="15">
        <v>46248</v>
      </c>
      <c r="C228">
        <v>0</v>
      </c>
      <c r="D228">
        <v>12</v>
      </c>
      <c r="E22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70</v>
      </c>
    </row>
    <row r="229" spans="1:5">
      <c r="A229" t="s">
        <v>12</v>
      </c>
      <c r="B229" s="15">
        <v>46249</v>
      </c>
      <c r="C229">
        <v>5</v>
      </c>
      <c r="D229">
        <v>0</v>
      </c>
      <c r="E22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32</v>
      </c>
    </row>
    <row r="230" spans="1:5">
      <c r="A230" t="s">
        <v>17</v>
      </c>
      <c r="B230" s="15">
        <v>46252</v>
      </c>
      <c r="C230">
        <v>9</v>
      </c>
      <c r="D230">
        <v>0</v>
      </c>
      <c r="E23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21</v>
      </c>
    </row>
    <row r="231" spans="1:5">
      <c r="A231" t="s">
        <v>8</v>
      </c>
      <c r="B231" s="15">
        <v>46253</v>
      </c>
      <c r="C231">
        <v>13</v>
      </c>
      <c r="D231">
        <v>0</v>
      </c>
      <c r="E23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18</v>
      </c>
    </row>
    <row r="232" spans="1:5">
      <c r="A232" t="s">
        <v>13</v>
      </c>
      <c r="B232" s="15">
        <v>46253</v>
      </c>
      <c r="C232">
        <v>0</v>
      </c>
      <c r="D232">
        <v>2</v>
      </c>
      <c r="E23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43</v>
      </c>
    </row>
    <row r="233" spans="1:5">
      <c r="A233" t="s">
        <v>12</v>
      </c>
      <c r="B233" s="15">
        <v>46255</v>
      </c>
      <c r="C233">
        <v>0</v>
      </c>
      <c r="D233">
        <v>4</v>
      </c>
      <c r="E23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28</v>
      </c>
    </row>
    <row r="234" spans="1:5">
      <c r="A234" t="s">
        <v>11</v>
      </c>
      <c r="B234" s="15">
        <v>46255</v>
      </c>
      <c r="C234">
        <v>0</v>
      </c>
      <c r="D234">
        <v>11</v>
      </c>
      <c r="E23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49</v>
      </c>
    </row>
    <row r="235" spans="1:5">
      <c r="A235" t="s">
        <v>13</v>
      </c>
      <c r="B235" s="15">
        <v>46255</v>
      </c>
      <c r="C235">
        <v>8</v>
      </c>
      <c r="D235">
        <v>0</v>
      </c>
      <c r="E23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51</v>
      </c>
    </row>
    <row r="236" spans="1:5">
      <c r="A236" t="s">
        <v>12</v>
      </c>
      <c r="B236" s="15">
        <v>46256</v>
      </c>
      <c r="C236">
        <v>0</v>
      </c>
      <c r="D236">
        <v>22</v>
      </c>
      <c r="E23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</v>
      </c>
    </row>
    <row r="237" spans="1:5">
      <c r="A237" t="s">
        <v>10</v>
      </c>
      <c r="B237" s="15">
        <v>46257</v>
      </c>
      <c r="C237">
        <v>0</v>
      </c>
      <c r="D237">
        <v>27</v>
      </c>
      <c r="E23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66</v>
      </c>
    </row>
    <row r="238" spans="1:5">
      <c r="A238" t="s">
        <v>8</v>
      </c>
      <c r="B238" s="15">
        <v>46259</v>
      </c>
      <c r="C238">
        <v>0</v>
      </c>
      <c r="D238">
        <v>7</v>
      </c>
      <c r="E23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71</v>
      </c>
    </row>
    <row r="239" spans="1:5">
      <c r="A239" t="s">
        <v>8</v>
      </c>
      <c r="B239" s="15">
        <v>46259</v>
      </c>
      <c r="C239">
        <v>60</v>
      </c>
      <c r="D239">
        <v>0</v>
      </c>
      <c r="E23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71</v>
      </c>
    </row>
    <row r="240" spans="1:5">
      <c r="A240" t="s">
        <v>10</v>
      </c>
      <c r="B240" s="15">
        <v>46259</v>
      </c>
      <c r="C240">
        <v>0</v>
      </c>
      <c r="D240">
        <v>26</v>
      </c>
      <c r="E24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40</v>
      </c>
    </row>
    <row r="241" spans="1:5">
      <c r="A241" t="s">
        <v>16</v>
      </c>
      <c r="B241" s="15">
        <v>46260</v>
      </c>
      <c r="C241">
        <v>10</v>
      </c>
      <c r="D241">
        <v>0</v>
      </c>
      <c r="E241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33</v>
      </c>
    </row>
    <row r="242" spans="1:5">
      <c r="A242" t="s">
        <v>9</v>
      </c>
      <c r="B242" s="15">
        <v>46261</v>
      </c>
      <c r="C242">
        <v>22</v>
      </c>
      <c r="D242">
        <v>0</v>
      </c>
      <c r="E242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45</v>
      </c>
    </row>
    <row r="243" spans="1:5">
      <c r="A243" t="s">
        <v>13</v>
      </c>
      <c r="B243" s="15">
        <v>46262</v>
      </c>
      <c r="C243">
        <v>0</v>
      </c>
      <c r="D243">
        <v>19</v>
      </c>
      <c r="E243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32</v>
      </c>
    </row>
    <row r="244" spans="1:5">
      <c r="A244" t="s">
        <v>18</v>
      </c>
      <c r="B244" s="15">
        <v>46263</v>
      </c>
      <c r="C244">
        <v>0</v>
      </c>
      <c r="D244">
        <v>4</v>
      </c>
      <c r="E244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245" spans="1:5">
      <c r="A245" t="s">
        <v>15</v>
      </c>
      <c r="B245" s="15">
        <v>46265</v>
      </c>
      <c r="C245">
        <v>0</v>
      </c>
      <c r="D245">
        <v>28</v>
      </c>
      <c r="E245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42</v>
      </c>
    </row>
    <row r="246" spans="1:5">
      <c r="A246" t="s">
        <v>17</v>
      </c>
      <c r="B246" s="15">
        <v>46265</v>
      </c>
      <c r="C246">
        <v>0</v>
      </c>
      <c r="D246">
        <v>9</v>
      </c>
      <c r="E246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12</v>
      </c>
    </row>
    <row r="247" spans="1:5">
      <c r="A247" t="s">
        <v>11</v>
      </c>
      <c r="B247" s="15">
        <v>46266</v>
      </c>
      <c r="C247">
        <v>0</v>
      </c>
      <c r="D247">
        <v>2</v>
      </c>
      <c r="E247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47</v>
      </c>
    </row>
    <row r="248" spans="1:5">
      <c r="A248" t="s">
        <v>15</v>
      </c>
      <c r="B248" s="15">
        <v>46266</v>
      </c>
      <c r="C248">
        <v>6</v>
      </c>
      <c r="D248">
        <v>0</v>
      </c>
      <c r="E248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48</v>
      </c>
    </row>
    <row r="249" spans="1:5">
      <c r="A249" t="s">
        <v>8</v>
      </c>
      <c r="B249" s="15">
        <v>46269</v>
      </c>
      <c r="C249">
        <v>36</v>
      </c>
      <c r="D249">
        <v>0</v>
      </c>
      <c r="E249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107</v>
      </c>
    </row>
    <row r="250" spans="1:5">
      <c r="A250" t="s">
        <v>14</v>
      </c>
      <c r="B250" s="15">
        <v>46275</v>
      </c>
      <c r="C250">
        <v>0</v>
      </c>
      <c r="D250">
        <v>9</v>
      </c>
      <c r="E250" s="11">
        <f>SUMIFS(TBLancamentos[Entradas],TBLancamentos[Produtos],TBLancamentos[[#This Row],[Produtos]],TBLancamentos[Datas],"&lt;="&amp;TBLancamentos[[#This Row],[Datas]])-SUMIFS(TBLancamentos[Saídas],TBLancamentos[Produtos],TBLancamentos[[#This Row],[Produtos]],TBLancamentos[Datas],"&lt;="&amp;TBLancamentos[[#This Row],[Datas]])</f>
        <v>81</v>
      </c>
    </row>
  </sheetData>
  <conditionalFormatting sqref="E4:E11">
    <cfRule type="cellIs" dxfId="3" priority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Rodrigues</dc:creator>
  <cp:keywords/>
  <dc:description/>
  <cp:lastModifiedBy/>
  <cp:revision/>
  <dcterms:created xsi:type="dcterms:W3CDTF">2026-09-04T15:49:35Z</dcterms:created>
  <dcterms:modified xsi:type="dcterms:W3CDTF">2026-09-14T18:41:03Z</dcterms:modified>
  <cp:category/>
  <cp:contentStatus/>
</cp:coreProperties>
</file>